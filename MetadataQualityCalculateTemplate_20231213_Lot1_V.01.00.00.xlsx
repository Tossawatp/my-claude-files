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hidePivotFieldList="1" defaultThemeVersion="166925"/>
  <mc:AlternateContent xmlns:mc="http://schemas.openxmlformats.org/markup-compatibility/2006">
    <mc:Choice Requires="x15">
      <x15ac:absPath xmlns:x15ac="http://schemas.microsoft.com/office/spreadsheetml/2010/11/ac" url="https://scbcorp.sharepoint.com/teams/SCBSDPO/Shared Documents/Data Governance/DG Metadata/Support Doc/Metadata Quality Metric V02.00.00/Metadata Quality Metric Calculate Template/"/>
    </mc:Choice>
  </mc:AlternateContent>
  <xr:revisionPtr revIDLastSave="653" documentId="13_ncr:1_{9A08C903-A1A9-4FD2-87D8-6FA2B8EB73B1}" xr6:coauthVersionLast="47" xr6:coauthVersionMax="47" xr10:uidLastSave="{DCC2A8AC-59B6-45F7-AA3D-32DADDD6FAD7}"/>
  <bookViews>
    <workbookView xWindow="28680" yWindow="-120" windowWidth="29040" windowHeight="15720" tabRatio="807" activeTab="8" xr2:uid="{AD5308AF-154D-44FE-ACAC-6CFDF124FDA5}"/>
  </bookViews>
  <sheets>
    <sheet name="Cover Sheet" sheetId="8" r:id="rId1"/>
    <sheet name="Instruction" sheetId="19" r:id="rId2"/>
    <sheet name="Technical Column" sheetId="13" state="hidden" r:id="rId3"/>
    <sheet name="Technical Data Set" sheetId="12" state="hidden" r:id="rId4"/>
    <sheet name="Business Metadata" sheetId="11" state="hidden" r:id="rId5"/>
    <sheet name="Scope &amp; Condition by field" sheetId="7" r:id="rId6"/>
    <sheet name="Summary" sheetId="14" r:id="rId7"/>
    <sheet name="Element" sheetId="18" r:id="rId8"/>
    <sheet name="Cal_Business Metadata" sheetId="2" r:id="rId9"/>
    <sheet name="Cal_Technical - Column" sheetId="4" r:id="rId10"/>
    <sheet name="Frequency" sheetId="5" state="hidden" r:id="rId11"/>
    <sheet name="Type" sheetId="6" state="hidden" r:id="rId12"/>
    <sheet name="Cal_Technical - Data Set" sheetId="3" r:id="rId13"/>
    <sheet name="Revision More Detail" sheetId="10" r:id="rId14"/>
  </sheets>
  <definedNames>
    <definedName name="_xlnm._FilterDatabase" localSheetId="9" hidden="1">'Cal_Technical - Column'!$N$1:$AN$5</definedName>
    <definedName name="_xlnm._FilterDatabase" localSheetId="7" hidden="1">Element!$A$1:$B$4</definedName>
    <definedName name="_xlnm._FilterDatabase" localSheetId="5" hidden="1">'Scope &amp; Condition by field'!$A$1:$D$55</definedName>
    <definedName name="_xlnm._FilterDatabase" localSheetId="6" hidden="1">Summary!$A$1:$E$56</definedName>
    <definedName name="ExternalData_1" localSheetId="8" hidden="1">'Cal_Business Metadata'!$A$1:$L$155</definedName>
    <definedName name="ExternalData_2" localSheetId="4" hidden="1">'Business Metadata'!$A$1:$N$155</definedName>
    <definedName name="ExternalData_2" localSheetId="12" hidden="1">'Cal_Technical - Data Set'!$A$1:$E$6</definedName>
    <definedName name="ExternalData_3" localSheetId="9" hidden="1">'Cal_Technical - Column'!$A$1:$L$155</definedName>
    <definedName name="ExternalData_3" localSheetId="3" hidden="1">'Technical Data Set'!$A$1:$F$6</definedName>
    <definedName name="ExternalData_4" localSheetId="2" hidden="1">'Technical Column'!$A$1:$N$155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J3" i="4" l="1"/>
  <c r="AJ4" i="4"/>
  <c r="AJ5" i="4"/>
  <c r="AJ6" i="4"/>
  <c r="AJ7" i="4"/>
  <c r="AJ8" i="4"/>
  <c r="AJ9" i="4"/>
  <c r="AJ10" i="4"/>
  <c r="AJ11" i="4"/>
  <c r="AJ12" i="4"/>
  <c r="AJ13" i="4"/>
  <c r="AJ14" i="4"/>
  <c r="AJ15" i="4"/>
  <c r="AJ16" i="4"/>
  <c r="AJ17" i="4"/>
  <c r="AJ18" i="4"/>
  <c r="AJ19" i="4"/>
  <c r="AJ20" i="4"/>
  <c r="AJ21" i="4"/>
  <c r="AJ22" i="4"/>
  <c r="AJ23" i="4"/>
  <c r="AJ24" i="4"/>
  <c r="AJ25" i="4"/>
  <c r="AJ26" i="4"/>
  <c r="AJ27" i="4"/>
  <c r="AJ28" i="4"/>
  <c r="AJ29" i="4"/>
  <c r="AJ30" i="4"/>
  <c r="AJ31" i="4"/>
  <c r="AJ32" i="4"/>
  <c r="AJ33" i="4"/>
  <c r="AJ34" i="4"/>
  <c r="AJ35" i="4"/>
  <c r="AJ36" i="4"/>
  <c r="AJ37" i="4"/>
  <c r="AJ38" i="4"/>
  <c r="AJ39" i="4"/>
  <c r="AJ40" i="4"/>
  <c r="AJ41" i="4"/>
  <c r="AJ42" i="4"/>
  <c r="AJ43" i="4"/>
  <c r="AJ44" i="4"/>
  <c r="AJ45" i="4"/>
  <c r="AJ46" i="4"/>
  <c r="AJ47" i="4"/>
  <c r="AJ48" i="4"/>
  <c r="AJ49" i="4"/>
  <c r="AJ50" i="4"/>
  <c r="AJ51" i="4"/>
  <c r="AJ52" i="4"/>
  <c r="AJ53" i="4"/>
  <c r="AJ54" i="4"/>
  <c r="AJ55" i="4"/>
  <c r="AJ56" i="4"/>
  <c r="AJ57" i="4"/>
  <c r="AJ58" i="4"/>
  <c r="AJ59" i="4"/>
  <c r="AJ60" i="4"/>
  <c r="AJ61" i="4"/>
  <c r="AJ62" i="4"/>
  <c r="AJ63" i="4"/>
  <c r="AJ64" i="4"/>
  <c r="AJ65" i="4"/>
  <c r="AJ66" i="4"/>
  <c r="AJ67" i="4"/>
  <c r="AJ68" i="4"/>
  <c r="AJ69" i="4"/>
  <c r="AJ70" i="4"/>
  <c r="AJ71" i="4"/>
  <c r="AJ72" i="4"/>
  <c r="AJ73" i="4"/>
  <c r="AJ74" i="4"/>
  <c r="AJ75" i="4"/>
  <c r="AJ76" i="4"/>
  <c r="AJ77" i="4"/>
  <c r="AJ2" i="4"/>
  <c r="W4" i="3"/>
  <c r="U4" i="3"/>
  <c r="Q4" i="3"/>
  <c r="R4" i="3"/>
  <c r="M4" i="3"/>
  <c r="N4" i="3"/>
  <c r="O4" i="3"/>
  <c r="I4" i="3"/>
  <c r="G4" i="3"/>
  <c r="H4" i="3"/>
  <c r="J4" i="3"/>
  <c r="K4" i="3"/>
  <c r="AN77" i="4"/>
  <c r="AM77" i="4"/>
  <c r="AL77" i="4"/>
  <c r="AK77" i="4"/>
  <c r="AH77" i="4"/>
  <c r="AG77" i="4"/>
  <c r="AF77" i="4"/>
  <c r="AE77" i="4"/>
  <c r="AD77" i="4"/>
  <c r="AB77" i="4"/>
  <c r="Z77" i="4"/>
  <c r="X77" i="4"/>
  <c r="W77" i="4"/>
  <c r="V77" i="4"/>
  <c r="U77" i="4"/>
  <c r="T77" i="4"/>
  <c r="S77" i="4"/>
  <c r="R77" i="4"/>
  <c r="Q77" i="4"/>
  <c r="P77" i="4"/>
  <c r="O77" i="4"/>
  <c r="N77" i="4"/>
  <c r="AN76" i="4"/>
  <c r="AM76" i="4"/>
  <c r="AL76" i="4"/>
  <c r="AK76" i="4"/>
  <c r="AH76" i="4"/>
  <c r="AG76" i="4"/>
  <c r="AF76" i="4"/>
  <c r="AE76" i="4"/>
  <c r="AD76" i="4"/>
  <c r="AB76" i="4"/>
  <c r="Z76" i="4"/>
  <c r="X76" i="4"/>
  <c r="W76" i="4"/>
  <c r="V76" i="4"/>
  <c r="U76" i="4"/>
  <c r="T76" i="4"/>
  <c r="S76" i="4"/>
  <c r="R76" i="4"/>
  <c r="Q76" i="4"/>
  <c r="P76" i="4"/>
  <c r="O76" i="4"/>
  <c r="N76" i="4"/>
  <c r="AN75" i="4"/>
  <c r="AM75" i="4"/>
  <c r="AL75" i="4"/>
  <c r="AK75" i="4"/>
  <c r="AH75" i="4"/>
  <c r="AG75" i="4"/>
  <c r="AF75" i="4"/>
  <c r="AE75" i="4"/>
  <c r="AD75" i="4"/>
  <c r="AB75" i="4"/>
  <c r="Z75" i="4"/>
  <c r="X75" i="4"/>
  <c r="W75" i="4"/>
  <c r="V75" i="4"/>
  <c r="U75" i="4"/>
  <c r="T75" i="4"/>
  <c r="S75" i="4"/>
  <c r="R75" i="4"/>
  <c r="Q75" i="4"/>
  <c r="P75" i="4"/>
  <c r="O75" i="4"/>
  <c r="N75" i="4"/>
  <c r="AN74" i="4"/>
  <c r="AM74" i="4"/>
  <c r="AL74" i="4"/>
  <c r="AK74" i="4"/>
  <c r="AH74" i="4"/>
  <c r="AG74" i="4"/>
  <c r="AF74" i="4"/>
  <c r="AE74" i="4"/>
  <c r="AD74" i="4"/>
  <c r="AB74" i="4"/>
  <c r="Z74" i="4"/>
  <c r="X74" i="4"/>
  <c r="W74" i="4"/>
  <c r="V74" i="4"/>
  <c r="U74" i="4"/>
  <c r="T74" i="4"/>
  <c r="S74" i="4"/>
  <c r="R74" i="4"/>
  <c r="Q74" i="4"/>
  <c r="P74" i="4"/>
  <c r="O74" i="4"/>
  <c r="N74" i="4"/>
  <c r="AN73" i="4"/>
  <c r="AM73" i="4"/>
  <c r="AL73" i="4"/>
  <c r="AK73" i="4"/>
  <c r="AH73" i="4"/>
  <c r="AG73" i="4"/>
  <c r="AF73" i="4"/>
  <c r="AE73" i="4"/>
  <c r="AD73" i="4"/>
  <c r="AB73" i="4"/>
  <c r="Z73" i="4"/>
  <c r="X73" i="4"/>
  <c r="W73" i="4"/>
  <c r="V73" i="4"/>
  <c r="U73" i="4"/>
  <c r="T73" i="4"/>
  <c r="S73" i="4"/>
  <c r="R73" i="4"/>
  <c r="Q73" i="4"/>
  <c r="P73" i="4"/>
  <c r="O73" i="4"/>
  <c r="N73" i="4"/>
  <c r="AN72" i="4"/>
  <c r="AM72" i="4"/>
  <c r="AL72" i="4"/>
  <c r="AK72" i="4"/>
  <c r="AH72" i="4"/>
  <c r="AG72" i="4"/>
  <c r="AF72" i="4"/>
  <c r="AE72" i="4"/>
  <c r="AD72" i="4"/>
  <c r="AB72" i="4"/>
  <c r="Z72" i="4"/>
  <c r="X72" i="4"/>
  <c r="W72" i="4"/>
  <c r="V72" i="4"/>
  <c r="U72" i="4"/>
  <c r="T72" i="4"/>
  <c r="S72" i="4"/>
  <c r="R72" i="4"/>
  <c r="Q72" i="4"/>
  <c r="P72" i="4"/>
  <c r="O72" i="4"/>
  <c r="N72" i="4"/>
  <c r="AN71" i="4"/>
  <c r="AM71" i="4"/>
  <c r="AL71" i="4"/>
  <c r="AK71" i="4"/>
  <c r="AH71" i="4"/>
  <c r="AG71" i="4"/>
  <c r="AF71" i="4"/>
  <c r="AE71" i="4"/>
  <c r="AD71" i="4"/>
  <c r="AB71" i="4"/>
  <c r="Z71" i="4"/>
  <c r="X71" i="4"/>
  <c r="W71" i="4"/>
  <c r="V71" i="4"/>
  <c r="U71" i="4"/>
  <c r="T71" i="4"/>
  <c r="S71" i="4"/>
  <c r="R71" i="4"/>
  <c r="Q71" i="4"/>
  <c r="P71" i="4"/>
  <c r="O71" i="4"/>
  <c r="N71" i="4"/>
  <c r="AN70" i="4"/>
  <c r="AM70" i="4"/>
  <c r="AL70" i="4"/>
  <c r="AK70" i="4"/>
  <c r="AH70" i="4"/>
  <c r="AG70" i="4"/>
  <c r="AF70" i="4"/>
  <c r="AE70" i="4"/>
  <c r="AD70" i="4"/>
  <c r="AB70" i="4"/>
  <c r="Z70" i="4"/>
  <c r="X70" i="4"/>
  <c r="W70" i="4"/>
  <c r="V70" i="4"/>
  <c r="U70" i="4"/>
  <c r="T70" i="4"/>
  <c r="S70" i="4"/>
  <c r="R70" i="4"/>
  <c r="Q70" i="4"/>
  <c r="P70" i="4"/>
  <c r="O70" i="4"/>
  <c r="N70" i="4"/>
  <c r="AN69" i="4"/>
  <c r="AM69" i="4"/>
  <c r="AL69" i="4"/>
  <c r="AK69" i="4"/>
  <c r="AH69" i="4"/>
  <c r="AG69" i="4"/>
  <c r="AF69" i="4"/>
  <c r="AE69" i="4"/>
  <c r="AD69" i="4"/>
  <c r="AB69" i="4"/>
  <c r="Z69" i="4"/>
  <c r="X69" i="4"/>
  <c r="W69" i="4"/>
  <c r="V69" i="4"/>
  <c r="U69" i="4"/>
  <c r="T69" i="4"/>
  <c r="S69" i="4"/>
  <c r="R69" i="4"/>
  <c r="Q69" i="4"/>
  <c r="P69" i="4"/>
  <c r="O69" i="4"/>
  <c r="N69" i="4"/>
  <c r="V65" i="2"/>
  <c r="V76" i="2"/>
  <c r="U76" i="2"/>
  <c r="T76" i="2"/>
  <c r="S76" i="2"/>
  <c r="S68" i="2"/>
  <c r="AR77" i="2"/>
  <c r="AN77" i="2"/>
  <c r="AP77" i="2" s="1"/>
  <c r="AM77" i="2"/>
  <c r="AK77" i="2"/>
  <c r="AI77" i="2"/>
  <c r="AH77" i="2"/>
  <c r="AG77" i="2"/>
  <c r="AF77" i="2"/>
  <c r="AE77" i="2"/>
  <c r="AD77" i="2"/>
  <c r="AB77" i="2"/>
  <c r="AA77" i="2"/>
  <c r="Z77" i="2"/>
  <c r="Y77" i="2"/>
  <c r="X77" i="2"/>
  <c r="V77" i="2"/>
  <c r="U77" i="2"/>
  <c r="T77" i="2"/>
  <c r="S77" i="2"/>
  <c r="AR76" i="2"/>
  <c r="AN76" i="2"/>
  <c r="AP76" i="2" s="1"/>
  <c r="AM76" i="2"/>
  <c r="AK76" i="2"/>
  <c r="AI76" i="2"/>
  <c r="AH76" i="2"/>
  <c r="AG76" i="2"/>
  <c r="AF76" i="2"/>
  <c r="AE76" i="2"/>
  <c r="AD76" i="2"/>
  <c r="AB76" i="2"/>
  <c r="AA76" i="2"/>
  <c r="Z76" i="2"/>
  <c r="Y76" i="2"/>
  <c r="X76" i="2"/>
  <c r="AR75" i="2"/>
  <c r="AN75" i="2"/>
  <c r="AP75" i="2" s="1"/>
  <c r="AM75" i="2"/>
  <c r="AK75" i="2"/>
  <c r="AI75" i="2"/>
  <c r="AH75" i="2"/>
  <c r="AG75" i="2"/>
  <c r="AF75" i="2"/>
  <c r="AE75" i="2"/>
  <c r="AD75" i="2"/>
  <c r="AB75" i="2"/>
  <c r="AA75" i="2"/>
  <c r="Z75" i="2"/>
  <c r="Y75" i="2"/>
  <c r="X75" i="2"/>
  <c r="V75" i="2"/>
  <c r="U75" i="2"/>
  <c r="T75" i="2"/>
  <c r="S75" i="2"/>
  <c r="AR74" i="2"/>
  <c r="AN74" i="2"/>
  <c r="AP74" i="2" s="1"/>
  <c r="AM74" i="2"/>
  <c r="AK74" i="2"/>
  <c r="AI74" i="2"/>
  <c r="AH74" i="2"/>
  <c r="AG74" i="2"/>
  <c r="AF74" i="2"/>
  <c r="AE74" i="2"/>
  <c r="AD74" i="2"/>
  <c r="AB74" i="2"/>
  <c r="AA74" i="2"/>
  <c r="Z74" i="2"/>
  <c r="Y74" i="2"/>
  <c r="X74" i="2"/>
  <c r="V74" i="2"/>
  <c r="U74" i="2"/>
  <c r="T74" i="2"/>
  <c r="S74" i="2"/>
  <c r="AR73" i="2"/>
  <c r="AN73" i="2"/>
  <c r="AP73" i="2" s="1"/>
  <c r="AM73" i="2"/>
  <c r="AK73" i="2"/>
  <c r="AI73" i="2"/>
  <c r="AH73" i="2"/>
  <c r="AG73" i="2"/>
  <c r="AF73" i="2"/>
  <c r="AE73" i="2"/>
  <c r="AD73" i="2"/>
  <c r="AB73" i="2"/>
  <c r="AA73" i="2"/>
  <c r="Z73" i="2"/>
  <c r="Y73" i="2"/>
  <c r="X73" i="2"/>
  <c r="V73" i="2"/>
  <c r="U73" i="2"/>
  <c r="T73" i="2"/>
  <c r="S73" i="2"/>
  <c r="AR72" i="2"/>
  <c r="AN72" i="2"/>
  <c r="AP72" i="2" s="1"/>
  <c r="AM72" i="2"/>
  <c r="AK72" i="2"/>
  <c r="AI72" i="2"/>
  <c r="AH72" i="2"/>
  <c r="AG72" i="2"/>
  <c r="AF72" i="2"/>
  <c r="AE72" i="2"/>
  <c r="AD72" i="2"/>
  <c r="AB72" i="2"/>
  <c r="AA72" i="2"/>
  <c r="Z72" i="2"/>
  <c r="Y72" i="2"/>
  <c r="X72" i="2"/>
  <c r="V72" i="2"/>
  <c r="U72" i="2"/>
  <c r="T72" i="2"/>
  <c r="S72" i="2"/>
  <c r="AR71" i="2"/>
  <c r="AP71" i="2"/>
  <c r="AN71" i="2"/>
  <c r="AM71" i="2"/>
  <c r="AK71" i="2"/>
  <c r="AI71" i="2"/>
  <c r="AH71" i="2"/>
  <c r="AG71" i="2"/>
  <c r="AF71" i="2"/>
  <c r="AE71" i="2"/>
  <c r="AD71" i="2"/>
  <c r="AB71" i="2"/>
  <c r="AA71" i="2"/>
  <c r="Z71" i="2"/>
  <c r="Y71" i="2"/>
  <c r="X71" i="2"/>
  <c r="V71" i="2"/>
  <c r="U71" i="2"/>
  <c r="T71" i="2"/>
  <c r="S71" i="2"/>
  <c r="AR70" i="2"/>
  <c r="AN70" i="2"/>
  <c r="AM70" i="2"/>
  <c r="AK70" i="2"/>
  <c r="AI70" i="2"/>
  <c r="AH70" i="2"/>
  <c r="AG70" i="2"/>
  <c r="AF70" i="2"/>
  <c r="AE70" i="2"/>
  <c r="AD70" i="2"/>
  <c r="AB70" i="2"/>
  <c r="AA70" i="2"/>
  <c r="Z70" i="2"/>
  <c r="Y70" i="2"/>
  <c r="X70" i="2"/>
  <c r="V70" i="2"/>
  <c r="U70" i="2"/>
  <c r="T70" i="2"/>
  <c r="S70" i="2"/>
  <c r="AR69" i="2"/>
  <c r="AN69" i="2"/>
  <c r="AP69" i="2" s="1"/>
  <c r="AM69" i="2"/>
  <c r="AK69" i="2"/>
  <c r="AI69" i="2"/>
  <c r="AH69" i="2"/>
  <c r="AG69" i="2"/>
  <c r="AF69" i="2"/>
  <c r="AE69" i="2"/>
  <c r="AD69" i="2"/>
  <c r="AB69" i="2"/>
  <c r="AA69" i="2"/>
  <c r="Z69" i="2"/>
  <c r="Y69" i="2"/>
  <c r="X69" i="2"/>
  <c r="V69" i="2"/>
  <c r="U69" i="2"/>
  <c r="T69" i="2"/>
  <c r="S69" i="2"/>
  <c r="N69" i="2"/>
  <c r="O69" i="2"/>
  <c r="P69" i="2"/>
  <c r="Q69" i="2"/>
  <c r="N70" i="2"/>
  <c r="O70" i="2"/>
  <c r="P70" i="2"/>
  <c r="Q70" i="2"/>
  <c r="N71" i="2"/>
  <c r="O71" i="2"/>
  <c r="P71" i="2"/>
  <c r="Q71" i="2"/>
  <c r="N72" i="2"/>
  <c r="O72" i="2"/>
  <c r="P72" i="2"/>
  <c r="Q72" i="2"/>
  <c r="N73" i="2"/>
  <c r="O73" i="2"/>
  <c r="P73" i="2"/>
  <c r="Q73" i="2"/>
  <c r="N74" i="2"/>
  <c r="O74" i="2"/>
  <c r="P74" i="2"/>
  <c r="Q74" i="2"/>
  <c r="N75" i="2"/>
  <c r="O75" i="2"/>
  <c r="P75" i="2"/>
  <c r="Q75" i="2"/>
  <c r="N76" i="2"/>
  <c r="O76" i="2"/>
  <c r="P76" i="2"/>
  <c r="Q76" i="2"/>
  <c r="N77" i="2"/>
  <c r="O77" i="2"/>
  <c r="P77" i="2"/>
  <c r="Q77" i="2"/>
  <c r="R76" i="2"/>
  <c r="R69" i="2"/>
  <c r="R70" i="2"/>
  <c r="R71" i="2"/>
  <c r="R72" i="2"/>
  <c r="R73" i="2"/>
  <c r="R74" i="2"/>
  <c r="R75" i="2"/>
  <c r="R77" i="2"/>
  <c r="AM44" i="4"/>
  <c r="U2" i="3"/>
  <c r="U3" i="3"/>
  <c r="W3" i="3"/>
  <c r="Q3" i="3"/>
  <c r="N3" i="3"/>
  <c r="M3" i="3"/>
  <c r="K3" i="3"/>
  <c r="J3" i="3"/>
  <c r="I3" i="3"/>
  <c r="H3" i="3"/>
  <c r="G3" i="3"/>
  <c r="R3" i="3"/>
  <c r="O3" i="3"/>
  <c r="AN68" i="4"/>
  <c r="AM68" i="4"/>
  <c r="AL68" i="4"/>
  <c r="AK68" i="4"/>
  <c r="AH68" i="4"/>
  <c r="AG68" i="4"/>
  <c r="AF68" i="4"/>
  <c r="AE68" i="4"/>
  <c r="AD68" i="4"/>
  <c r="AB68" i="4"/>
  <c r="Z68" i="4"/>
  <c r="X68" i="4"/>
  <c r="W68" i="4"/>
  <c r="V68" i="4"/>
  <c r="U68" i="4"/>
  <c r="T68" i="4"/>
  <c r="S68" i="4"/>
  <c r="R68" i="4"/>
  <c r="Q68" i="4"/>
  <c r="P68" i="4"/>
  <c r="O68" i="4"/>
  <c r="N68" i="4"/>
  <c r="AN67" i="4"/>
  <c r="AM67" i="4"/>
  <c r="AL67" i="4"/>
  <c r="AK67" i="4"/>
  <c r="AH67" i="4"/>
  <c r="AG67" i="4"/>
  <c r="AF67" i="4"/>
  <c r="AE67" i="4"/>
  <c r="AD67" i="4"/>
  <c r="AB67" i="4"/>
  <c r="Z67" i="4"/>
  <c r="X67" i="4"/>
  <c r="W67" i="4"/>
  <c r="V67" i="4"/>
  <c r="U67" i="4"/>
  <c r="T67" i="4"/>
  <c r="S67" i="4"/>
  <c r="R67" i="4"/>
  <c r="Q67" i="4"/>
  <c r="P67" i="4"/>
  <c r="O67" i="4"/>
  <c r="N67" i="4"/>
  <c r="AN66" i="4"/>
  <c r="AM66" i="4"/>
  <c r="AL66" i="4"/>
  <c r="AK66" i="4"/>
  <c r="AH66" i="4"/>
  <c r="AG66" i="4"/>
  <c r="AF66" i="4"/>
  <c r="AE66" i="4"/>
  <c r="AD66" i="4"/>
  <c r="AB66" i="4"/>
  <c r="Z66" i="4"/>
  <c r="X66" i="4"/>
  <c r="W66" i="4"/>
  <c r="V66" i="4"/>
  <c r="U66" i="4"/>
  <c r="T66" i="4"/>
  <c r="S66" i="4"/>
  <c r="R66" i="4"/>
  <c r="Q66" i="4"/>
  <c r="P66" i="4"/>
  <c r="O66" i="4"/>
  <c r="N66" i="4"/>
  <c r="AN65" i="4"/>
  <c r="AM65" i="4"/>
  <c r="AL65" i="4"/>
  <c r="AK65" i="4"/>
  <c r="AH65" i="4"/>
  <c r="AG65" i="4"/>
  <c r="AF65" i="4"/>
  <c r="AE65" i="4"/>
  <c r="AD65" i="4"/>
  <c r="AB65" i="4"/>
  <c r="Z65" i="4"/>
  <c r="X65" i="4"/>
  <c r="W65" i="4"/>
  <c r="V65" i="4"/>
  <c r="U65" i="4"/>
  <c r="T65" i="4"/>
  <c r="S65" i="4"/>
  <c r="R65" i="4"/>
  <c r="Q65" i="4"/>
  <c r="P65" i="4"/>
  <c r="O65" i="4"/>
  <c r="N65" i="4"/>
  <c r="AN64" i="4"/>
  <c r="AM64" i="4"/>
  <c r="AL64" i="4"/>
  <c r="AK64" i="4"/>
  <c r="AH64" i="4"/>
  <c r="AG64" i="4"/>
  <c r="AF64" i="4"/>
  <c r="AE64" i="4"/>
  <c r="AD64" i="4"/>
  <c r="AB64" i="4"/>
  <c r="Z64" i="4"/>
  <c r="X64" i="4"/>
  <c r="W64" i="4"/>
  <c r="V64" i="4"/>
  <c r="U64" i="4"/>
  <c r="T64" i="4"/>
  <c r="S64" i="4"/>
  <c r="R64" i="4"/>
  <c r="Q64" i="4"/>
  <c r="P64" i="4"/>
  <c r="O64" i="4"/>
  <c r="N64" i="4"/>
  <c r="AN63" i="4"/>
  <c r="AM63" i="4"/>
  <c r="AL63" i="4"/>
  <c r="AK63" i="4"/>
  <c r="AH63" i="4"/>
  <c r="AG63" i="4"/>
  <c r="AF63" i="4"/>
  <c r="AE63" i="4"/>
  <c r="AD63" i="4"/>
  <c r="AB63" i="4"/>
  <c r="Z63" i="4"/>
  <c r="X63" i="4"/>
  <c r="W63" i="4"/>
  <c r="V63" i="4"/>
  <c r="U63" i="4"/>
  <c r="T63" i="4"/>
  <c r="S63" i="4"/>
  <c r="R63" i="4"/>
  <c r="Q63" i="4"/>
  <c r="P63" i="4"/>
  <c r="O63" i="4"/>
  <c r="N63" i="4"/>
  <c r="AN62" i="4"/>
  <c r="AM62" i="4"/>
  <c r="AL62" i="4"/>
  <c r="AK62" i="4"/>
  <c r="AH62" i="4"/>
  <c r="AG62" i="4"/>
  <c r="AF62" i="4"/>
  <c r="AE62" i="4"/>
  <c r="AD62" i="4"/>
  <c r="AB62" i="4"/>
  <c r="Z62" i="4"/>
  <c r="X62" i="4"/>
  <c r="W62" i="4"/>
  <c r="V62" i="4"/>
  <c r="U62" i="4"/>
  <c r="T62" i="4"/>
  <c r="S62" i="4"/>
  <c r="R62" i="4"/>
  <c r="Q62" i="4"/>
  <c r="P62" i="4"/>
  <c r="O62" i="4"/>
  <c r="N62" i="4"/>
  <c r="AN61" i="4"/>
  <c r="AM61" i="4"/>
  <c r="AL61" i="4"/>
  <c r="AK61" i="4"/>
  <c r="AH61" i="4"/>
  <c r="AG61" i="4"/>
  <c r="AF61" i="4"/>
  <c r="AE61" i="4"/>
  <c r="AD61" i="4"/>
  <c r="AB61" i="4"/>
  <c r="Z61" i="4"/>
  <c r="X61" i="4"/>
  <c r="W61" i="4"/>
  <c r="V61" i="4"/>
  <c r="U61" i="4"/>
  <c r="T61" i="4"/>
  <c r="S61" i="4"/>
  <c r="R61" i="4"/>
  <c r="Q61" i="4"/>
  <c r="P61" i="4"/>
  <c r="O61" i="4"/>
  <c r="N61" i="4"/>
  <c r="AN60" i="4"/>
  <c r="AM60" i="4"/>
  <c r="AL60" i="4"/>
  <c r="AK60" i="4"/>
  <c r="AH60" i="4"/>
  <c r="AG60" i="4"/>
  <c r="AF60" i="4"/>
  <c r="AE60" i="4"/>
  <c r="AD60" i="4"/>
  <c r="AB60" i="4"/>
  <c r="Z60" i="4"/>
  <c r="X60" i="4"/>
  <c r="W60" i="4"/>
  <c r="V60" i="4"/>
  <c r="U60" i="4"/>
  <c r="T60" i="4"/>
  <c r="S60" i="4"/>
  <c r="R60" i="4"/>
  <c r="Q60" i="4"/>
  <c r="P60" i="4"/>
  <c r="O60" i="4"/>
  <c r="N60" i="4"/>
  <c r="AN59" i="4"/>
  <c r="AM59" i="4"/>
  <c r="AL59" i="4"/>
  <c r="AK59" i="4"/>
  <c r="AH59" i="4"/>
  <c r="AG59" i="4"/>
  <c r="AF59" i="4"/>
  <c r="AE59" i="4"/>
  <c r="AD59" i="4"/>
  <c r="AB59" i="4"/>
  <c r="Z59" i="4"/>
  <c r="X59" i="4"/>
  <c r="W59" i="4"/>
  <c r="V59" i="4"/>
  <c r="U59" i="4"/>
  <c r="T59" i="4"/>
  <c r="S59" i="4"/>
  <c r="R59" i="4"/>
  <c r="Q59" i="4"/>
  <c r="P59" i="4"/>
  <c r="O59" i="4"/>
  <c r="N59" i="4"/>
  <c r="AN58" i="4"/>
  <c r="AM58" i="4"/>
  <c r="AL58" i="4"/>
  <c r="AK58" i="4"/>
  <c r="AH58" i="4"/>
  <c r="AG58" i="4"/>
  <c r="AF58" i="4"/>
  <c r="AE58" i="4"/>
  <c r="AD58" i="4"/>
  <c r="AB58" i="4"/>
  <c r="Z58" i="4"/>
  <c r="X58" i="4"/>
  <c r="W58" i="4"/>
  <c r="V58" i="4"/>
  <c r="U58" i="4"/>
  <c r="T58" i="4"/>
  <c r="S58" i="4"/>
  <c r="R58" i="4"/>
  <c r="Q58" i="4"/>
  <c r="P58" i="4"/>
  <c r="O58" i="4"/>
  <c r="N58" i="4"/>
  <c r="AN57" i="4"/>
  <c r="AM57" i="4"/>
  <c r="AL57" i="4"/>
  <c r="AK57" i="4"/>
  <c r="AH57" i="4"/>
  <c r="AG57" i="4"/>
  <c r="AF57" i="4"/>
  <c r="AE57" i="4"/>
  <c r="AD57" i="4"/>
  <c r="AB57" i="4"/>
  <c r="Z57" i="4"/>
  <c r="X57" i="4"/>
  <c r="W57" i="4"/>
  <c r="V57" i="4"/>
  <c r="U57" i="4"/>
  <c r="T57" i="4"/>
  <c r="S57" i="4"/>
  <c r="R57" i="4"/>
  <c r="Q57" i="4"/>
  <c r="P57" i="4"/>
  <c r="O57" i="4"/>
  <c r="N57" i="4"/>
  <c r="AN56" i="4"/>
  <c r="AM56" i="4"/>
  <c r="AL56" i="4"/>
  <c r="AK56" i="4"/>
  <c r="AH56" i="4"/>
  <c r="AG56" i="4"/>
  <c r="AF56" i="4"/>
  <c r="AE56" i="4"/>
  <c r="AD56" i="4"/>
  <c r="AB56" i="4"/>
  <c r="Z56" i="4"/>
  <c r="X56" i="4"/>
  <c r="W56" i="4"/>
  <c r="V56" i="4"/>
  <c r="U56" i="4"/>
  <c r="T56" i="4"/>
  <c r="S56" i="4"/>
  <c r="R56" i="4"/>
  <c r="Q56" i="4"/>
  <c r="P56" i="4"/>
  <c r="O56" i="4"/>
  <c r="N56" i="4"/>
  <c r="AN55" i="4"/>
  <c r="AM55" i="4"/>
  <c r="AL55" i="4"/>
  <c r="AK55" i="4"/>
  <c r="AH55" i="4"/>
  <c r="AG55" i="4"/>
  <c r="AF55" i="4"/>
  <c r="AE55" i="4"/>
  <c r="AD55" i="4"/>
  <c r="AB55" i="4"/>
  <c r="Z55" i="4"/>
  <c r="X55" i="4"/>
  <c r="W55" i="4"/>
  <c r="V55" i="4"/>
  <c r="U55" i="4"/>
  <c r="T55" i="4"/>
  <c r="S55" i="4"/>
  <c r="R55" i="4"/>
  <c r="Q55" i="4"/>
  <c r="P55" i="4"/>
  <c r="O55" i="4"/>
  <c r="N55" i="4"/>
  <c r="AN54" i="4"/>
  <c r="AM54" i="4"/>
  <c r="AL54" i="4"/>
  <c r="AK54" i="4"/>
  <c r="AH54" i="4"/>
  <c r="AG54" i="4"/>
  <c r="AF54" i="4"/>
  <c r="AE54" i="4"/>
  <c r="AD54" i="4"/>
  <c r="AB54" i="4"/>
  <c r="Z54" i="4"/>
  <c r="X54" i="4"/>
  <c r="W54" i="4"/>
  <c r="V54" i="4"/>
  <c r="U54" i="4"/>
  <c r="T54" i="4"/>
  <c r="S54" i="4"/>
  <c r="R54" i="4"/>
  <c r="Q54" i="4"/>
  <c r="P54" i="4"/>
  <c r="O54" i="4"/>
  <c r="N54" i="4"/>
  <c r="AN53" i="4"/>
  <c r="AM53" i="4"/>
  <c r="AL53" i="4"/>
  <c r="AK53" i="4"/>
  <c r="AH53" i="4"/>
  <c r="AG53" i="4"/>
  <c r="AF53" i="4"/>
  <c r="AE53" i="4"/>
  <c r="AD53" i="4"/>
  <c r="AB53" i="4"/>
  <c r="Z53" i="4"/>
  <c r="X53" i="4"/>
  <c r="W53" i="4"/>
  <c r="V53" i="4"/>
  <c r="U53" i="4"/>
  <c r="T53" i="4"/>
  <c r="S53" i="4"/>
  <c r="R53" i="4"/>
  <c r="Q53" i="4"/>
  <c r="P53" i="4"/>
  <c r="O53" i="4"/>
  <c r="N53" i="4"/>
  <c r="AN52" i="4"/>
  <c r="AM52" i="4"/>
  <c r="AL52" i="4"/>
  <c r="AK52" i="4"/>
  <c r="AH52" i="4"/>
  <c r="AG52" i="4"/>
  <c r="AF52" i="4"/>
  <c r="AE52" i="4"/>
  <c r="AD52" i="4"/>
  <c r="AB52" i="4"/>
  <c r="Z52" i="4"/>
  <c r="X52" i="4"/>
  <c r="W52" i="4"/>
  <c r="V52" i="4"/>
  <c r="U52" i="4"/>
  <c r="T52" i="4"/>
  <c r="S52" i="4"/>
  <c r="R52" i="4"/>
  <c r="Q52" i="4"/>
  <c r="P52" i="4"/>
  <c r="O52" i="4"/>
  <c r="N52" i="4"/>
  <c r="AN51" i="4"/>
  <c r="AM51" i="4"/>
  <c r="AL51" i="4"/>
  <c r="AK51" i="4"/>
  <c r="AH51" i="4"/>
  <c r="AG51" i="4"/>
  <c r="AF51" i="4"/>
  <c r="AE51" i="4"/>
  <c r="AD51" i="4"/>
  <c r="AB51" i="4"/>
  <c r="Z51" i="4"/>
  <c r="X51" i="4"/>
  <c r="W51" i="4"/>
  <c r="V51" i="4"/>
  <c r="U51" i="4"/>
  <c r="T51" i="4"/>
  <c r="S51" i="4"/>
  <c r="R51" i="4"/>
  <c r="Q51" i="4"/>
  <c r="P51" i="4"/>
  <c r="O51" i="4"/>
  <c r="N51" i="4"/>
  <c r="AN50" i="4"/>
  <c r="AM50" i="4"/>
  <c r="AL50" i="4"/>
  <c r="AK50" i="4"/>
  <c r="AH50" i="4"/>
  <c r="AG50" i="4"/>
  <c r="AF50" i="4"/>
  <c r="AE50" i="4"/>
  <c r="AD50" i="4"/>
  <c r="AB50" i="4"/>
  <c r="Z50" i="4"/>
  <c r="X50" i="4"/>
  <c r="W50" i="4"/>
  <c r="V50" i="4"/>
  <c r="U50" i="4"/>
  <c r="T50" i="4"/>
  <c r="S50" i="4"/>
  <c r="R50" i="4"/>
  <c r="Q50" i="4"/>
  <c r="P50" i="4"/>
  <c r="O50" i="4"/>
  <c r="N50" i="4"/>
  <c r="AN49" i="4"/>
  <c r="AM49" i="4"/>
  <c r="AL49" i="4"/>
  <c r="AK49" i="4"/>
  <c r="AH49" i="4"/>
  <c r="AG49" i="4"/>
  <c r="AF49" i="4"/>
  <c r="AE49" i="4"/>
  <c r="AD49" i="4"/>
  <c r="AB49" i="4"/>
  <c r="Z49" i="4"/>
  <c r="X49" i="4"/>
  <c r="W49" i="4"/>
  <c r="V49" i="4"/>
  <c r="U49" i="4"/>
  <c r="T49" i="4"/>
  <c r="S49" i="4"/>
  <c r="R49" i="4"/>
  <c r="Q49" i="4"/>
  <c r="P49" i="4"/>
  <c r="O49" i="4"/>
  <c r="N49" i="4"/>
  <c r="AN48" i="4"/>
  <c r="AM48" i="4"/>
  <c r="AL48" i="4"/>
  <c r="AK48" i="4"/>
  <c r="AH48" i="4"/>
  <c r="AG48" i="4"/>
  <c r="AF48" i="4"/>
  <c r="AE48" i="4"/>
  <c r="AD48" i="4"/>
  <c r="AB48" i="4"/>
  <c r="Z48" i="4"/>
  <c r="X48" i="4"/>
  <c r="W48" i="4"/>
  <c r="V48" i="4"/>
  <c r="U48" i="4"/>
  <c r="T48" i="4"/>
  <c r="S48" i="4"/>
  <c r="R48" i="4"/>
  <c r="Q48" i="4"/>
  <c r="P48" i="4"/>
  <c r="O48" i="4"/>
  <c r="N48" i="4"/>
  <c r="AN47" i="4"/>
  <c r="AM47" i="4"/>
  <c r="AL47" i="4"/>
  <c r="AK47" i="4"/>
  <c r="AH47" i="4"/>
  <c r="AG47" i="4"/>
  <c r="AF47" i="4"/>
  <c r="AE47" i="4"/>
  <c r="AD47" i="4"/>
  <c r="AB47" i="4"/>
  <c r="Z47" i="4"/>
  <c r="X47" i="4"/>
  <c r="W47" i="4"/>
  <c r="V47" i="4"/>
  <c r="U47" i="4"/>
  <c r="T47" i="4"/>
  <c r="S47" i="4"/>
  <c r="R47" i="4"/>
  <c r="Q47" i="4"/>
  <c r="P47" i="4"/>
  <c r="O47" i="4"/>
  <c r="N47" i="4"/>
  <c r="AN46" i="4"/>
  <c r="AM46" i="4"/>
  <c r="AL46" i="4"/>
  <c r="AK46" i="4"/>
  <c r="AH46" i="4"/>
  <c r="AG46" i="4"/>
  <c r="AF46" i="4"/>
  <c r="AE46" i="4"/>
  <c r="AD46" i="4"/>
  <c r="AB46" i="4"/>
  <c r="Z46" i="4"/>
  <c r="X46" i="4"/>
  <c r="W46" i="4"/>
  <c r="V46" i="4"/>
  <c r="U46" i="4"/>
  <c r="T46" i="4"/>
  <c r="S46" i="4"/>
  <c r="R46" i="4"/>
  <c r="Q46" i="4"/>
  <c r="P46" i="4"/>
  <c r="O46" i="4"/>
  <c r="N46" i="4"/>
  <c r="AN45" i="4"/>
  <c r="AM45" i="4"/>
  <c r="AL45" i="4"/>
  <c r="AK45" i="4"/>
  <c r="AH45" i="4"/>
  <c r="AG45" i="4"/>
  <c r="AF45" i="4"/>
  <c r="AE45" i="4"/>
  <c r="AD45" i="4"/>
  <c r="AB45" i="4"/>
  <c r="Z45" i="4"/>
  <c r="X45" i="4"/>
  <c r="W45" i="4"/>
  <c r="V45" i="4"/>
  <c r="U45" i="4"/>
  <c r="T45" i="4"/>
  <c r="S45" i="4"/>
  <c r="R45" i="4"/>
  <c r="Q45" i="4"/>
  <c r="P45" i="4"/>
  <c r="O45" i="4"/>
  <c r="N45" i="4"/>
  <c r="AN44" i="4"/>
  <c r="AL44" i="4"/>
  <c r="AK44" i="4"/>
  <c r="AH44" i="4"/>
  <c r="AG44" i="4"/>
  <c r="AF44" i="4"/>
  <c r="AE44" i="4"/>
  <c r="AD44" i="4"/>
  <c r="AB44" i="4"/>
  <c r="Z44" i="4"/>
  <c r="X44" i="4"/>
  <c r="W44" i="4"/>
  <c r="V44" i="4"/>
  <c r="U44" i="4"/>
  <c r="T44" i="4"/>
  <c r="S44" i="4"/>
  <c r="R44" i="4"/>
  <c r="Q44" i="4"/>
  <c r="P44" i="4"/>
  <c r="O44" i="4"/>
  <c r="N44" i="4"/>
  <c r="AN43" i="4"/>
  <c r="AM43" i="4"/>
  <c r="AL43" i="4"/>
  <c r="AK43" i="4"/>
  <c r="AH43" i="4"/>
  <c r="AG43" i="4"/>
  <c r="AF43" i="4"/>
  <c r="AE43" i="4"/>
  <c r="AD43" i="4"/>
  <c r="AB43" i="4"/>
  <c r="Z43" i="4"/>
  <c r="X43" i="4"/>
  <c r="W43" i="4"/>
  <c r="V43" i="4"/>
  <c r="U43" i="4"/>
  <c r="T43" i="4"/>
  <c r="S43" i="4"/>
  <c r="R43" i="4"/>
  <c r="Q43" i="4"/>
  <c r="P43" i="4"/>
  <c r="O43" i="4"/>
  <c r="N43" i="4"/>
  <c r="AN42" i="4"/>
  <c r="AM42" i="4"/>
  <c r="AL42" i="4"/>
  <c r="AK42" i="4"/>
  <c r="AH42" i="4"/>
  <c r="AG42" i="4"/>
  <c r="AF42" i="4"/>
  <c r="AE42" i="4"/>
  <c r="AD42" i="4"/>
  <c r="AB42" i="4"/>
  <c r="Z42" i="4"/>
  <c r="X42" i="4"/>
  <c r="W42" i="4"/>
  <c r="V42" i="4"/>
  <c r="U42" i="4"/>
  <c r="T42" i="4"/>
  <c r="S42" i="4"/>
  <c r="R42" i="4"/>
  <c r="Q42" i="4"/>
  <c r="P42" i="4"/>
  <c r="O42" i="4"/>
  <c r="N42" i="4"/>
  <c r="AN41" i="4"/>
  <c r="AM41" i="4"/>
  <c r="AL41" i="4"/>
  <c r="AK41" i="4"/>
  <c r="AH41" i="4"/>
  <c r="AG41" i="4"/>
  <c r="AF41" i="4"/>
  <c r="AE41" i="4"/>
  <c r="AD41" i="4"/>
  <c r="AB41" i="4"/>
  <c r="Z41" i="4"/>
  <c r="X41" i="4"/>
  <c r="W41" i="4"/>
  <c r="V41" i="4"/>
  <c r="U41" i="4"/>
  <c r="T41" i="4"/>
  <c r="S41" i="4"/>
  <c r="R41" i="4"/>
  <c r="Q41" i="4"/>
  <c r="P41" i="4"/>
  <c r="O41" i="4"/>
  <c r="N41" i="4"/>
  <c r="AN40" i="4"/>
  <c r="AM40" i="4"/>
  <c r="AL40" i="4"/>
  <c r="AK40" i="4"/>
  <c r="AH40" i="4"/>
  <c r="AG40" i="4"/>
  <c r="AF40" i="4"/>
  <c r="AE40" i="4"/>
  <c r="AD40" i="4"/>
  <c r="AB40" i="4"/>
  <c r="Z40" i="4"/>
  <c r="X40" i="4"/>
  <c r="W40" i="4"/>
  <c r="V40" i="4"/>
  <c r="U40" i="4"/>
  <c r="T40" i="4"/>
  <c r="S40" i="4"/>
  <c r="R40" i="4"/>
  <c r="Q40" i="4"/>
  <c r="P40" i="4"/>
  <c r="O40" i="4"/>
  <c r="N40" i="4"/>
  <c r="AN39" i="4"/>
  <c r="AM39" i="4"/>
  <c r="AL39" i="4"/>
  <c r="AK39" i="4"/>
  <c r="AH39" i="4"/>
  <c r="AG39" i="4"/>
  <c r="AF39" i="4"/>
  <c r="AE39" i="4"/>
  <c r="AD39" i="4"/>
  <c r="AB39" i="4"/>
  <c r="Z39" i="4"/>
  <c r="X39" i="4"/>
  <c r="W39" i="4"/>
  <c r="V39" i="4"/>
  <c r="U39" i="4"/>
  <c r="T39" i="4"/>
  <c r="S39" i="4"/>
  <c r="R39" i="4"/>
  <c r="Q39" i="4"/>
  <c r="P39" i="4"/>
  <c r="O39" i="4"/>
  <c r="N39" i="4"/>
  <c r="AN38" i="4"/>
  <c r="AM38" i="4"/>
  <c r="AL38" i="4"/>
  <c r="AK38" i="4"/>
  <c r="AH38" i="4"/>
  <c r="AG38" i="4"/>
  <c r="AF38" i="4"/>
  <c r="AE38" i="4"/>
  <c r="AD38" i="4"/>
  <c r="AB38" i="4"/>
  <c r="Z38" i="4"/>
  <c r="X38" i="4"/>
  <c r="W38" i="4"/>
  <c r="V38" i="4"/>
  <c r="U38" i="4"/>
  <c r="T38" i="4"/>
  <c r="S38" i="4"/>
  <c r="R38" i="4"/>
  <c r="Q38" i="4"/>
  <c r="P38" i="4"/>
  <c r="O38" i="4"/>
  <c r="N38" i="4"/>
  <c r="AN37" i="4"/>
  <c r="AM37" i="4"/>
  <c r="AL37" i="4"/>
  <c r="AK37" i="4"/>
  <c r="AH37" i="4"/>
  <c r="AG37" i="4"/>
  <c r="AF37" i="4"/>
  <c r="AE37" i="4"/>
  <c r="AD37" i="4"/>
  <c r="AB37" i="4"/>
  <c r="Z37" i="4"/>
  <c r="X37" i="4"/>
  <c r="W37" i="4"/>
  <c r="V37" i="4"/>
  <c r="U37" i="4"/>
  <c r="T37" i="4"/>
  <c r="S37" i="4"/>
  <c r="R37" i="4"/>
  <c r="Q37" i="4"/>
  <c r="P37" i="4"/>
  <c r="O37" i="4"/>
  <c r="N37" i="4"/>
  <c r="AN36" i="4"/>
  <c r="AM36" i="4"/>
  <c r="AL36" i="4"/>
  <c r="AK36" i="4"/>
  <c r="AH36" i="4"/>
  <c r="AG36" i="4"/>
  <c r="AF36" i="4"/>
  <c r="AE36" i="4"/>
  <c r="AD36" i="4"/>
  <c r="AB36" i="4"/>
  <c r="Z36" i="4"/>
  <c r="X36" i="4"/>
  <c r="W36" i="4"/>
  <c r="V36" i="4"/>
  <c r="U36" i="4"/>
  <c r="T36" i="4"/>
  <c r="S36" i="4"/>
  <c r="R36" i="4"/>
  <c r="Q36" i="4"/>
  <c r="P36" i="4"/>
  <c r="O36" i="4"/>
  <c r="N36" i="4"/>
  <c r="AN35" i="4"/>
  <c r="AM35" i="4"/>
  <c r="AL35" i="4"/>
  <c r="AK35" i="4"/>
  <c r="AH35" i="4"/>
  <c r="AG35" i="4"/>
  <c r="AF35" i="4"/>
  <c r="AE35" i="4"/>
  <c r="AD35" i="4"/>
  <c r="AB35" i="4"/>
  <c r="Z35" i="4"/>
  <c r="X35" i="4"/>
  <c r="W35" i="4"/>
  <c r="V35" i="4"/>
  <c r="U35" i="4"/>
  <c r="T35" i="4"/>
  <c r="S35" i="4"/>
  <c r="R35" i="4"/>
  <c r="Q35" i="4"/>
  <c r="P35" i="4"/>
  <c r="O35" i="4"/>
  <c r="N35" i="4"/>
  <c r="AN34" i="4"/>
  <c r="AM34" i="4"/>
  <c r="AL34" i="4"/>
  <c r="AK34" i="4"/>
  <c r="AH34" i="4"/>
  <c r="AG34" i="4"/>
  <c r="AF34" i="4"/>
  <c r="AE34" i="4"/>
  <c r="AD34" i="4"/>
  <c r="AB34" i="4"/>
  <c r="Z34" i="4"/>
  <c r="X34" i="4"/>
  <c r="W34" i="4"/>
  <c r="V34" i="4"/>
  <c r="U34" i="4"/>
  <c r="T34" i="4"/>
  <c r="S34" i="4"/>
  <c r="R34" i="4"/>
  <c r="Q34" i="4"/>
  <c r="P34" i="4"/>
  <c r="O34" i="4"/>
  <c r="N34" i="4"/>
  <c r="AN33" i="4"/>
  <c r="AM33" i="4"/>
  <c r="AL33" i="4"/>
  <c r="AK33" i="4"/>
  <c r="AH33" i="4"/>
  <c r="AG33" i="4"/>
  <c r="AF33" i="4"/>
  <c r="AE33" i="4"/>
  <c r="AD33" i="4"/>
  <c r="AB33" i="4"/>
  <c r="Z33" i="4"/>
  <c r="X33" i="4"/>
  <c r="W33" i="4"/>
  <c r="V33" i="4"/>
  <c r="U33" i="4"/>
  <c r="T33" i="4"/>
  <c r="S33" i="4"/>
  <c r="R33" i="4"/>
  <c r="Q33" i="4"/>
  <c r="P33" i="4"/>
  <c r="O33" i="4"/>
  <c r="N33" i="4"/>
  <c r="AN32" i="4"/>
  <c r="AM32" i="4"/>
  <c r="AL32" i="4"/>
  <c r="AK32" i="4"/>
  <c r="AH32" i="4"/>
  <c r="AG32" i="4"/>
  <c r="AF32" i="4"/>
  <c r="AE32" i="4"/>
  <c r="AD32" i="4"/>
  <c r="AB32" i="4"/>
  <c r="Z32" i="4"/>
  <c r="X32" i="4"/>
  <c r="W32" i="4"/>
  <c r="V32" i="4"/>
  <c r="U32" i="4"/>
  <c r="T32" i="4"/>
  <c r="S32" i="4"/>
  <c r="R32" i="4"/>
  <c r="Q32" i="4"/>
  <c r="P32" i="4"/>
  <c r="O32" i="4"/>
  <c r="N32" i="4"/>
  <c r="R68" i="2"/>
  <c r="N68" i="2"/>
  <c r="N32" i="2"/>
  <c r="O32" i="2"/>
  <c r="P32" i="2"/>
  <c r="Q32" i="2"/>
  <c r="N33" i="2"/>
  <c r="O33" i="2"/>
  <c r="P33" i="2"/>
  <c r="Q33" i="2"/>
  <c r="N34" i="2"/>
  <c r="O34" i="2"/>
  <c r="P34" i="2"/>
  <c r="Q34" i="2"/>
  <c r="N35" i="2"/>
  <c r="O35" i="2"/>
  <c r="P35" i="2"/>
  <c r="Q35" i="2"/>
  <c r="N36" i="2"/>
  <c r="O36" i="2"/>
  <c r="P36" i="2"/>
  <c r="Q36" i="2"/>
  <c r="N37" i="2"/>
  <c r="O37" i="2"/>
  <c r="P37" i="2"/>
  <c r="Q37" i="2"/>
  <c r="N38" i="2"/>
  <c r="O38" i="2"/>
  <c r="P38" i="2"/>
  <c r="Q38" i="2"/>
  <c r="N39" i="2"/>
  <c r="O39" i="2"/>
  <c r="P39" i="2"/>
  <c r="Q39" i="2"/>
  <c r="N40" i="2"/>
  <c r="O40" i="2"/>
  <c r="P40" i="2"/>
  <c r="Q40" i="2"/>
  <c r="N41" i="2"/>
  <c r="O41" i="2"/>
  <c r="P41" i="2"/>
  <c r="Q41" i="2"/>
  <c r="N42" i="2"/>
  <c r="O42" i="2"/>
  <c r="P42" i="2"/>
  <c r="Q42" i="2"/>
  <c r="N43" i="2"/>
  <c r="O43" i="2"/>
  <c r="P43" i="2"/>
  <c r="Q43" i="2"/>
  <c r="N44" i="2"/>
  <c r="O44" i="2"/>
  <c r="P44" i="2"/>
  <c r="Q44" i="2"/>
  <c r="N45" i="2"/>
  <c r="O45" i="2"/>
  <c r="P45" i="2"/>
  <c r="Q45" i="2"/>
  <c r="N46" i="2"/>
  <c r="O46" i="2"/>
  <c r="P46" i="2"/>
  <c r="Q46" i="2"/>
  <c r="N47" i="2"/>
  <c r="O47" i="2"/>
  <c r="P47" i="2"/>
  <c r="Q47" i="2"/>
  <c r="N48" i="2"/>
  <c r="O48" i="2"/>
  <c r="P48" i="2"/>
  <c r="Q48" i="2"/>
  <c r="N49" i="2"/>
  <c r="O49" i="2"/>
  <c r="P49" i="2"/>
  <c r="Q49" i="2"/>
  <c r="N50" i="2"/>
  <c r="O50" i="2"/>
  <c r="P50" i="2"/>
  <c r="Q50" i="2"/>
  <c r="N51" i="2"/>
  <c r="O51" i="2"/>
  <c r="P51" i="2"/>
  <c r="Q51" i="2"/>
  <c r="N52" i="2"/>
  <c r="O52" i="2"/>
  <c r="P52" i="2"/>
  <c r="Q52" i="2"/>
  <c r="N53" i="2"/>
  <c r="O53" i="2"/>
  <c r="P53" i="2"/>
  <c r="Q53" i="2"/>
  <c r="N54" i="2"/>
  <c r="O54" i="2"/>
  <c r="P54" i="2"/>
  <c r="Q54" i="2"/>
  <c r="N55" i="2"/>
  <c r="O55" i="2"/>
  <c r="P55" i="2"/>
  <c r="Q55" i="2"/>
  <c r="N56" i="2"/>
  <c r="O56" i="2"/>
  <c r="P56" i="2"/>
  <c r="Q56" i="2"/>
  <c r="N57" i="2"/>
  <c r="O57" i="2"/>
  <c r="P57" i="2"/>
  <c r="Q57" i="2"/>
  <c r="N58" i="2"/>
  <c r="O58" i="2"/>
  <c r="P58" i="2"/>
  <c r="Q58" i="2"/>
  <c r="N59" i="2"/>
  <c r="O59" i="2"/>
  <c r="P59" i="2"/>
  <c r="Q59" i="2"/>
  <c r="N60" i="2"/>
  <c r="O60" i="2"/>
  <c r="P60" i="2"/>
  <c r="Q60" i="2"/>
  <c r="N61" i="2"/>
  <c r="O61" i="2"/>
  <c r="P61" i="2"/>
  <c r="Q61" i="2"/>
  <c r="N62" i="2"/>
  <c r="O62" i="2"/>
  <c r="P62" i="2"/>
  <c r="Q62" i="2"/>
  <c r="N63" i="2"/>
  <c r="O63" i="2"/>
  <c r="P63" i="2"/>
  <c r="Q63" i="2"/>
  <c r="N64" i="2"/>
  <c r="O64" i="2"/>
  <c r="P64" i="2"/>
  <c r="Q64" i="2"/>
  <c r="N65" i="2"/>
  <c r="O65" i="2"/>
  <c r="P65" i="2"/>
  <c r="Q65" i="2"/>
  <c r="N66" i="2"/>
  <c r="O66" i="2"/>
  <c r="P66" i="2"/>
  <c r="Q66" i="2"/>
  <c r="N67" i="2"/>
  <c r="O67" i="2"/>
  <c r="P67" i="2"/>
  <c r="Q67" i="2"/>
  <c r="O68" i="2"/>
  <c r="P68" i="2"/>
  <c r="Q68" i="2"/>
  <c r="AR68" i="2"/>
  <c r="AN68" i="2"/>
  <c r="AP68" i="2" s="1"/>
  <c r="AM68" i="2"/>
  <c r="AK68" i="2"/>
  <c r="AI68" i="2"/>
  <c r="AH68" i="2"/>
  <c r="AG68" i="2"/>
  <c r="AF68" i="2"/>
  <c r="AE68" i="2"/>
  <c r="AD68" i="2"/>
  <c r="AB68" i="2"/>
  <c r="AA68" i="2"/>
  <c r="Z68" i="2"/>
  <c r="Y68" i="2"/>
  <c r="X68" i="2"/>
  <c r="V68" i="2"/>
  <c r="U68" i="2"/>
  <c r="T68" i="2"/>
  <c r="AR67" i="2"/>
  <c r="AN67" i="2"/>
  <c r="AP67" i="2" s="1"/>
  <c r="AM67" i="2"/>
  <c r="AK67" i="2"/>
  <c r="AI67" i="2"/>
  <c r="AH67" i="2"/>
  <c r="AG67" i="2"/>
  <c r="AF67" i="2"/>
  <c r="AE67" i="2"/>
  <c r="AD67" i="2"/>
  <c r="AB67" i="2"/>
  <c r="AA67" i="2"/>
  <c r="Z67" i="2"/>
  <c r="Y67" i="2"/>
  <c r="X67" i="2"/>
  <c r="V67" i="2"/>
  <c r="U67" i="2"/>
  <c r="T67" i="2"/>
  <c r="S67" i="2"/>
  <c r="R67" i="2"/>
  <c r="AR66" i="2"/>
  <c r="AN66" i="2"/>
  <c r="AP66" i="2" s="1"/>
  <c r="AM66" i="2"/>
  <c r="AK66" i="2"/>
  <c r="AI66" i="2"/>
  <c r="AH66" i="2"/>
  <c r="AG66" i="2"/>
  <c r="AF66" i="2"/>
  <c r="AE66" i="2"/>
  <c r="AD66" i="2"/>
  <c r="AB66" i="2"/>
  <c r="AA66" i="2"/>
  <c r="Z66" i="2"/>
  <c r="Y66" i="2"/>
  <c r="X66" i="2"/>
  <c r="V66" i="2"/>
  <c r="U66" i="2"/>
  <c r="T66" i="2"/>
  <c r="S66" i="2"/>
  <c r="R66" i="2"/>
  <c r="AR65" i="2"/>
  <c r="AN65" i="2"/>
  <c r="AP65" i="2" s="1"/>
  <c r="AM65" i="2"/>
  <c r="AK65" i="2"/>
  <c r="AI65" i="2"/>
  <c r="AH65" i="2"/>
  <c r="AG65" i="2"/>
  <c r="AF65" i="2"/>
  <c r="AE65" i="2"/>
  <c r="AD65" i="2"/>
  <c r="AB65" i="2"/>
  <c r="AA65" i="2"/>
  <c r="Z65" i="2"/>
  <c r="Y65" i="2"/>
  <c r="X65" i="2"/>
  <c r="U65" i="2"/>
  <c r="T65" i="2"/>
  <c r="S65" i="2"/>
  <c r="R65" i="2"/>
  <c r="AR64" i="2"/>
  <c r="AN64" i="2"/>
  <c r="AP64" i="2" s="1"/>
  <c r="AM64" i="2"/>
  <c r="AK64" i="2"/>
  <c r="AI64" i="2"/>
  <c r="AH64" i="2"/>
  <c r="AG64" i="2"/>
  <c r="AF64" i="2"/>
  <c r="AE64" i="2"/>
  <c r="AD64" i="2"/>
  <c r="AB64" i="2"/>
  <c r="AA64" i="2"/>
  <c r="Z64" i="2"/>
  <c r="Y64" i="2"/>
  <c r="X64" i="2"/>
  <c r="V64" i="2"/>
  <c r="U64" i="2"/>
  <c r="T64" i="2"/>
  <c r="S64" i="2"/>
  <c r="R64" i="2"/>
  <c r="AR63" i="2"/>
  <c r="AN63" i="2"/>
  <c r="AP63" i="2" s="1"/>
  <c r="AM63" i="2"/>
  <c r="AK63" i="2"/>
  <c r="AI63" i="2"/>
  <c r="AH63" i="2"/>
  <c r="AG63" i="2"/>
  <c r="AF63" i="2"/>
  <c r="AE63" i="2"/>
  <c r="AD63" i="2"/>
  <c r="AB63" i="2"/>
  <c r="AA63" i="2"/>
  <c r="Z63" i="2"/>
  <c r="Y63" i="2"/>
  <c r="X63" i="2"/>
  <c r="V63" i="2"/>
  <c r="U63" i="2"/>
  <c r="T63" i="2"/>
  <c r="S63" i="2"/>
  <c r="R63" i="2"/>
  <c r="AR62" i="2"/>
  <c r="AN62" i="2"/>
  <c r="AP62" i="2" s="1"/>
  <c r="AM62" i="2"/>
  <c r="AK62" i="2"/>
  <c r="AI62" i="2"/>
  <c r="AH62" i="2"/>
  <c r="AG62" i="2"/>
  <c r="AF62" i="2"/>
  <c r="AE62" i="2"/>
  <c r="AD62" i="2"/>
  <c r="AB62" i="2"/>
  <c r="AA62" i="2"/>
  <c r="Z62" i="2"/>
  <c r="Y62" i="2"/>
  <c r="X62" i="2"/>
  <c r="V62" i="2"/>
  <c r="U62" i="2"/>
  <c r="T62" i="2"/>
  <c r="S62" i="2"/>
  <c r="R62" i="2"/>
  <c r="AR61" i="2"/>
  <c r="AN61" i="2"/>
  <c r="AP61" i="2" s="1"/>
  <c r="AM61" i="2"/>
  <c r="AK61" i="2"/>
  <c r="AI61" i="2"/>
  <c r="AH61" i="2"/>
  <c r="AG61" i="2"/>
  <c r="AF61" i="2"/>
  <c r="AE61" i="2"/>
  <c r="AD61" i="2"/>
  <c r="AB61" i="2"/>
  <c r="AA61" i="2"/>
  <c r="Z61" i="2"/>
  <c r="Y61" i="2"/>
  <c r="X61" i="2"/>
  <c r="V61" i="2"/>
  <c r="U61" i="2"/>
  <c r="T61" i="2"/>
  <c r="S61" i="2"/>
  <c r="R61" i="2"/>
  <c r="AR60" i="2"/>
  <c r="AN60" i="2"/>
  <c r="AP60" i="2" s="1"/>
  <c r="AM60" i="2"/>
  <c r="AK60" i="2"/>
  <c r="AI60" i="2"/>
  <c r="AH60" i="2"/>
  <c r="AG60" i="2"/>
  <c r="AF60" i="2"/>
  <c r="AE60" i="2"/>
  <c r="AD60" i="2"/>
  <c r="AB60" i="2"/>
  <c r="AA60" i="2"/>
  <c r="Z60" i="2"/>
  <c r="Y60" i="2"/>
  <c r="X60" i="2"/>
  <c r="V60" i="2"/>
  <c r="U60" i="2"/>
  <c r="T60" i="2"/>
  <c r="S60" i="2"/>
  <c r="R60" i="2"/>
  <c r="AR59" i="2"/>
  <c r="AN59" i="2"/>
  <c r="AP59" i="2" s="1"/>
  <c r="AM59" i="2"/>
  <c r="AK59" i="2"/>
  <c r="AI59" i="2"/>
  <c r="AH59" i="2"/>
  <c r="AG59" i="2"/>
  <c r="AF59" i="2"/>
  <c r="AE59" i="2"/>
  <c r="AD59" i="2"/>
  <c r="AB59" i="2"/>
  <c r="AA59" i="2"/>
  <c r="Z59" i="2"/>
  <c r="Y59" i="2"/>
  <c r="X59" i="2"/>
  <c r="V59" i="2"/>
  <c r="U59" i="2"/>
  <c r="T59" i="2"/>
  <c r="S59" i="2"/>
  <c r="R59" i="2"/>
  <c r="AR58" i="2"/>
  <c r="AN58" i="2"/>
  <c r="AP58" i="2" s="1"/>
  <c r="AM58" i="2"/>
  <c r="AK58" i="2"/>
  <c r="AI58" i="2"/>
  <c r="AH58" i="2"/>
  <c r="AG58" i="2"/>
  <c r="AF58" i="2"/>
  <c r="AE58" i="2"/>
  <c r="AD58" i="2"/>
  <c r="AB58" i="2"/>
  <c r="AA58" i="2"/>
  <c r="Z58" i="2"/>
  <c r="Y58" i="2"/>
  <c r="X58" i="2"/>
  <c r="V58" i="2"/>
  <c r="U58" i="2"/>
  <c r="T58" i="2"/>
  <c r="S58" i="2"/>
  <c r="R58" i="2"/>
  <c r="AR57" i="2"/>
  <c r="AN57" i="2"/>
  <c r="AP57" i="2" s="1"/>
  <c r="AM57" i="2"/>
  <c r="AK57" i="2"/>
  <c r="AI57" i="2"/>
  <c r="AH57" i="2"/>
  <c r="AG57" i="2"/>
  <c r="AF57" i="2"/>
  <c r="AE57" i="2"/>
  <c r="AD57" i="2"/>
  <c r="AB57" i="2"/>
  <c r="AA57" i="2"/>
  <c r="Z57" i="2"/>
  <c r="Y57" i="2"/>
  <c r="X57" i="2"/>
  <c r="V57" i="2"/>
  <c r="U57" i="2"/>
  <c r="T57" i="2"/>
  <c r="S57" i="2"/>
  <c r="R57" i="2"/>
  <c r="AR56" i="2"/>
  <c r="AN56" i="2"/>
  <c r="AP56" i="2" s="1"/>
  <c r="AM56" i="2"/>
  <c r="AK56" i="2"/>
  <c r="AI56" i="2"/>
  <c r="AH56" i="2"/>
  <c r="AG56" i="2"/>
  <c r="AF56" i="2"/>
  <c r="AE56" i="2"/>
  <c r="AD56" i="2"/>
  <c r="AB56" i="2"/>
  <c r="AA56" i="2"/>
  <c r="Z56" i="2"/>
  <c r="Y56" i="2"/>
  <c r="X56" i="2"/>
  <c r="V56" i="2"/>
  <c r="U56" i="2"/>
  <c r="T56" i="2"/>
  <c r="S56" i="2"/>
  <c r="R56" i="2"/>
  <c r="AR55" i="2"/>
  <c r="AN55" i="2"/>
  <c r="AP55" i="2" s="1"/>
  <c r="AM55" i="2"/>
  <c r="AK55" i="2"/>
  <c r="AI55" i="2"/>
  <c r="AH55" i="2"/>
  <c r="AG55" i="2"/>
  <c r="AF55" i="2"/>
  <c r="AE55" i="2"/>
  <c r="AD55" i="2"/>
  <c r="AB55" i="2"/>
  <c r="AA55" i="2"/>
  <c r="Z55" i="2"/>
  <c r="Y55" i="2"/>
  <c r="X55" i="2"/>
  <c r="V55" i="2"/>
  <c r="U55" i="2"/>
  <c r="T55" i="2"/>
  <c r="S55" i="2"/>
  <c r="R55" i="2"/>
  <c r="AR54" i="2"/>
  <c r="AN54" i="2"/>
  <c r="AP54" i="2" s="1"/>
  <c r="AM54" i="2"/>
  <c r="AK54" i="2"/>
  <c r="AI54" i="2"/>
  <c r="AH54" i="2"/>
  <c r="AG54" i="2"/>
  <c r="AF54" i="2"/>
  <c r="AE54" i="2"/>
  <c r="AD54" i="2"/>
  <c r="AB54" i="2"/>
  <c r="AA54" i="2"/>
  <c r="Z54" i="2"/>
  <c r="Y54" i="2"/>
  <c r="X54" i="2"/>
  <c r="V54" i="2"/>
  <c r="U54" i="2"/>
  <c r="T54" i="2"/>
  <c r="S54" i="2"/>
  <c r="R54" i="2"/>
  <c r="AR53" i="2"/>
  <c r="AN53" i="2"/>
  <c r="AP53" i="2" s="1"/>
  <c r="AM53" i="2"/>
  <c r="AK53" i="2"/>
  <c r="AI53" i="2"/>
  <c r="AH53" i="2"/>
  <c r="AG53" i="2"/>
  <c r="AF53" i="2"/>
  <c r="AE53" i="2"/>
  <c r="AD53" i="2"/>
  <c r="AB53" i="2"/>
  <c r="AA53" i="2"/>
  <c r="Z53" i="2"/>
  <c r="Y53" i="2"/>
  <c r="X53" i="2"/>
  <c r="V53" i="2"/>
  <c r="U53" i="2"/>
  <c r="T53" i="2"/>
  <c r="S53" i="2"/>
  <c r="R53" i="2"/>
  <c r="AR52" i="2"/>
  <c r="AN52" i="2"/>
  <c r="AP52" i="2" s="1"/>
  <c r="AM52" i="2"/>
  <c r="AK52" i="2"/>
  <c r="AI52" i="2"/>
  <c r="AH52" i="2"/>
  <c r="AG52" i="2"/>
  <c r="AF52" i="2"/>
  <c r="AE52" i="2"/>
  <c r="AD52" i="2"/>
  <c r="AB52" i="2"/>
  <c r="AA52" i="2"/>
  <c r="Z52" i="2"/>
  <c r="Y52" i="2"/>
  <c r="X52" i="2"/>
  <c r="V52" i="2"/>
  <c r="U52" i="2"/>
  <c r="T52" i="2"/>
  <c r="S52" i="2"/>
  <c r="R52" i="2"/>
  <c r="AR51" i="2"/>
  <c r="AN51" i="2"/>
  <c r="AP51" i="2" s="1"/>
  <c r="AM51" i="2"/>
  <c r="AK51" i="2"/>
  <c r="AI51" i="2"/>
  <c r="AH51" i="2"/>
  <c r="AG51" i="2"/>
  <c r="AF51" i="2"/>
  <c r="AE51" i="2"/>
  <c r="AD51" i="2"/>
  <c r="AB51" i="2"/>
  <c r="AA51" i="2"/>
  <c r="Z51" i="2"/>
  <c r="Y51" i="2"/>
  <c r="X51" i="2"/>
  <c r="V51" i="2"/>
  <c r="U51" i="2"/>
  <c r="T51" i="2"/>
  <c r="S51" i="2"/>
  <c r="R51" i="2"/>
  <c r="AR50" i="2"/>
  <c r="AN50" i="2"/>
  <c r="AP50" i="2" s="1"/>
  <c r="AM50" i="2"/>
  <c r="AK50" i="2"/>
  <c r="AI50" i="2"/>
  <c r="AH50" i="2"/>
  <c r="AG50" i="2"/>
  <c r="AF50" i="2"/>
  <c r="AE50" i="2"/>
  <c r="AD50" i="2"/>
  <c r="AB50" i="2"/>
  <c r="AA50" i="2"/>
  <c r="Z50" i="2"/>
  <c r="Y50" i="2"/>
  <c r="X50" i="2"/>
  <c r="V50" i="2"/>
  <c r="U50" i="2"/>
  <c r="T50" i="2"/>
  <c r="S50" i="2"/>
  <c r="R50" i="2"/>
  <c r="AR49" i="2"/>
  <c r="AN49" i="2"/>
  <c r="AP49" i="2" s="1"/>
  <c r="AM49" i="2"/>
  <c r="AK49" i="2"/>
  <c r="AI49" i="2"/>
  <c r="AH49" i="2"/>
  <c r="AG49" i="2"/>
  <c r="AF49" i="2"/>
  <c r="AE49" i="2"/>
  <c r="AD49" i="2"/>
  <c r="AB49" i="2"/>
  <c r="AA49" i="2"/>
  <c r="Z49" i="2"/>
  <c r="Y49" i="2"/>
  <c r="X49" i="2"/>
  <c r="V49" i="2"/>
  <c r="U49" i="2"/>
  <c r="T49" i="2"/>
  <c r="S49" i="2"/>
  <c r="R49" i="2"/>
  <c r="AR48" i="2"/>
  <c r="AN48" i="2"/>
  <c r="AP48" i="2" s="1"/>
  <c r="AM48" i="2"/>
  <c r="AK48" i="2"/>
  <c r="AI48" i="2"/>
  <c r="AH48" i="2"/>
  <c r="AG48" i="2"/>
  <c r="AF48" i="2"/>
  <c r="AE48" i="2"/>
  <c r="AD48" i="2"/>
  <c r="AB48" i="2"/>
  <c r="AA48" i="2"/>
  <c r="Z48" i="2"/>
  <c r="Y48" i="2"/>
  <c r="X48" i="2"/>
  <c r="V48" i="2"/>
  <c r="U48" i="2"/>
  <c r="T48" i="2"/>
  <c r="S48" i="2"/>
  <c r="R48" i="2"/>
  <c r="AR47" i="2"/>
  <c r="AN47" i="2"/>
  <c r="AP47" i="2" s="1"/>
  <c r="AM47" i="2"/>
  <c r="AK47" i="2"/>
  <c r="AI47" i="2"/>
  <c r="AH47" i="2"/>
  <c r="AG47" i="2"/>
  <c r="AF47" i="2"/>
  <c r="AE47" i="2"/>
  <c r="AD47" i="2"/>
  <c r="AB47" i="2"/>
  <c r="AA47" i="2"/>
  <c r="Z47" i="2"/>
  <c r="Y47" i="2"/>
  <c r="X47" i="2"/>
  <c r="V47" i="2"/>
  <c r="U47" i="2"/>
  <c r="T47" i="2"/>
  <c r="S47" i="2"/>
  <c r="R47" i="2"/>
  <c r="AR46" i="2"/>
  <c r="AN46" i="2"/>
  <c r="AP46" i="2" s="1"/>
  <c r="AM46" i="2"/>
  <c r="AK46" i="2"/>
  <c r="AI46" i="2"/>
  <c r="AH46" i="2"/>
  <c r="AG46" i="2"/>
  <c r="AF46" i="2"/>
  <c r="AE46" i="2"/>
  <c r="AD46" i="2"/>
  <c r="AB46" i="2"/>
  <c r="AA46" i="2"/>
  <c r="Z46" i="2"/>
  <c r="Y46" i="2"/>
  <c r="X46" i="2"/>
  <c r="V46" i="2"/>
  <c r="U46" i="2"/>
  <c r="T46" i="2"/>
  <c r="S46" i="2"/>
  <c r="R46" i="2"/>
  <c r="AR45" i="2"/>
  <c r="AN45" i="2"/>
  <c r="AP45" i="2" s="1"/>
  <c r="AM45" i="2"/>
  <c r="AK45" i="2"/>
  <c r="AI45" i="2"/>
  <c r="AH45" i="2"/>
  <c r="AG45" i="2"/>
  <c r="AF45" i="2"/>
  <c r="AE45" i="2"/>
  <c r="AD45" i="2"/>
  <c r="AB45" i="2"/>
  <c r="AA45" i="2"/>
  <c r="Z45" i="2"/>
  <c r="Y45" i="2"/>
  <c r="X45" i="2"/>
  <c r="V45" i="2"/>
  <c r="U45" i="2"/>
  <c r="T45" i="2"/>
  <c r="S45" i="2"/>
  <c r="R45" i="2"/>
  <c r="AR44" i="2"/>
  <c r="AN44" i="2"/>
  <c r="AP44" i="2" s="1"/>
  <c r="AM44" i="2"/>
  <c r="AK44" i="2"/>
  <c r="AI44" i="2"/>
  <c r="AH44" i="2"/>
  <c r="AG44" i="2"/>
  <c r="AF44" i="2"/>
  <c r="AE44" i="2"/>
  <c r="AD44" i="2"/>
  <c r="AB44" i="2"/>
  <c r="AA44" i="2"/>
  <c r="Z44" i="2"/>
  <c r="Y44" i="2"/>
  <c r="X44" i="2"/>
  <c r="V44" i="2"/>
  <c r="U44" i="2"/>
  <c r="T44" i="2"/>
  <c r="S44" i="2"/>
  <c r="R44" i="2"/>
  <c r="AR43" i="2"/>
  <c r="AN43" i="2"/>
  <c r="AP43" i="2" s="1"/>
  <c r="AM43" i="2"/>
  <c r="AK43" i="2"/>
  <c r="AI43" i="2"/>
  <c r="AH43" i="2"/>
  <c r="AG43" i="2"/>
  <c r="AF43" i="2"/>
  <c r="AE43" i="2"/>
  <c r="AD43" i="2"/>
  <c r="AB43" i="2"/>
  <c r="AA43" i="2"/>
  <c r="Z43" i="2"/>
  <c r="Y43" i="2"/>
  <c r="X43" i="2"/>
  <c r="V43" i="2"/>
  <c r="U43" i="2"/>
  <c r="T43" i="2"/>
  <c r="S43" i="2"/>
  <c r="R43" i="2"/>
  <c r="AR42" i="2"/>
  <c r="AN42" i="2"/>
  <c r="AP42" i="2" s="1"/>
  <c r="AM42" i="2"/>
  <c r="AK42" i="2"/>
  <c r="AI42" i="2"/>
  <c r="AH42" i="2"/>
  <c r="AG42" i="2"/>
  <c r="AF42" i="2"/>
  <c r="AE42" i="2"/>
  <c r="AD42" i="2"/>
  <c r="AB42" i="2"/>
  <c r="AA42" i="2"/>
  <c r="Z42" i="2"/>
  <c r="Y42" i="2"/>
  <c r="X42" i="2"/>
  <c r="V42" i="2"/>
  <c r="U42" i="2"/>
  <c r="T42" i="2"/>
  <c r="S42" i="2"/>
  <c r="R42" i="2"/>
  <c r="AR41" i="2"/>
  <c r="AN41" i="2"/>
  <c r="AP41" i="2" s="1"/>
  <c r="AM41" i="2"/>
  <c r="AK41" i="2"/>
  <c r="AI41" i="2"/>
  <c r="AH41" i="2"/>
  <c r="AG41" i="2"/>
  <c r="AF41" i="2"/>
  <c r="AE41" i="2"/>
  <c r="AD41" i="2"/>
  <c r="AB41" i="2"/>
  <c r="AA41" i="2"/>
  <c r="Z41" i="2"/>
  <c r="Y41" i="2"/>
  <c r="X41" i="2"/>
  <c r="V41" i="2"/>
  <c r="U41" i="2"/>
  <c r="T41" i="2"/>
  <c r="S41" i="2"/>
  <c r="R41" i="2"/>
  <c r="AR40" i="2"/>
  <c r="AN40" i="2"/>
  <c r="AP40" i="2" s="1"/>
  <c r="AM40" i="2"/>
  <c r="AK40" i="2"/>
  <c r="AI40" i="2"/>
  <c r="AH40" i="2"/>
  <c r="AG40" i="2"/>
  <c r="AF40" i="2"/>
  <c r="AE40" i="2"/>
  <c r="AD40" i="2"/>
  <c r="AB40" i="2"/>
  <c r="AA40" i="2"/>
  <c r="Z40" i="2"/>
  <c r="Y40" i="2"/>
  <c r="X40" i="2"/>
  <c r="V40" i="2"/>
  <c r="U40" i="2"/>
  <c r="T40" i="2"/>
  <c r="S40" i="2"/>
  <c r="R40" i="2"/>
  <c r="AR39" i="2"/>
  <c r="AN39" i="2"/>
  <c r="AP39" i="2" s="1"/>
  <c r="AM39" i="2"/>
  <c r="AK39" i="2"/>
  <c r="AI39" i="2"/>
  <c r="AH39" i="2"/>
  <c r="AG39" i="2"/>
  <c r="AF39" i="2"/>
  <c r="AE39" i="2"/>
  <c r="AD39" i="2"/>
  <c r="AB39" i="2"/>
  <c r="AA39" i="2"/>
  <c r="Z39" i="2"/>
  <c r="Y39" i="2"/>
  <c r="X39" i="2"/>
  <c r="V39" i="2"/>
  <c r="U39" i="2"/>
  <c r="T39" i="2"/>
  <c r="S39" i="2"/>
  <c r="R39" i="2"/>
  <c r="AR38" i="2"/>
  <c r="AN38" i="2"/>
  <c r="AP38" i="2" s="1"/>
  <c r="AM38" i="2"/>
  <c r="AK38" i="2"/>
  <c r="AI38" i="2"/>
  <c r="AH38" i="2"/>
  <c r="AG38" i="2"/>
  <c r="AF38" i="2"/>
  <c r="AE38" i="2"/>
  <c r="AD38" i="2"/>
  <c r="AB38" i="2"/>
  <c r="AA38" i="2"/>
  <c r="Z38" i="2"/>
  <c r="Y38" i="2"/>
  <c r="X38" i="2"/>
  <c r="V38" i="2"/>
  <c r="U38" i="2"/>
  <c r="T38" i="2"/>
  <c r="S38" i="2"/>
  <c r="R38" i="2"/>
  <c r="AR37" i="2"/>
  <c r="AN37" i="2"/>
  <c r="AP37" i="2" s="1"/>
  <c r="AM37" i="2"/>
  <c r="AK37" i="2"/>
  <c r="AI37" i="2"/>
  <c r="AH37" i="2"/>
  <c r="AG37" i="2"/>
  <c r="AF37" i="2"/>
  <c r="AE37" i="2"/>
  <c r="AD37" i="2"/>
  <c r="AB37" i="2"/>
  <c r="AA37" i="2"/>
  <c r="Z37" i="2"/>
  <c r="Y37" i="2"/>
  <c r="X37" i="2"/>
  <c r="V37" i="2"/>
  <c r="U37" i="2"/>
  <c r="T37" i="2"/>
  <c r="S37" i="2"/>
  <c r="R37" i="2"/>
  <c r="AR36" i="2"/>
  <c r="AN36" i="2"/>
  <c r="AP36" i="2" s="1"/>
  <c r="AM36" i="2"/>
  <c r="AK36" i="2"/>
  <c r="AI36" i="2"/>
  <c r="AH36" i="2"/>
  <c r="AG36" i="2"/>
  <c r="AF36" i="2"/>
  <c r="AE36" i="2"/>
  <c r="AD36" i="2"/>
  <c r="AB36" i="2"/>
  <c r="AA36" i="2"/>
  <c r="Z36" i="2"/>
  <c r="Y36" i="2"/>
  <c r="X36" i="2"/>
  <c r="V36" i="2"/>
  <c r="U36" i="2"/>
  <c r="T36" i="2"/>
  <c r="S36" i="2"/>
  <c r="R36" i="2"/>
  <c r="AR35" i="2"/>
  <c r="AN35" i="2"/>
  <c r="AP35" i="2" s="1"/>
  <c r="AM35" i="2"/>
  <c r="AK35" i="2"/>
  <c r="AI35" i="2"/>
  <c r="AH35" i="2"/>
  <c r="AG35" i="2"/>
  <c r="AF35" i="2"/>
  <c r="AE35" i="2"/>
  <c r="AD35" i="2"/>
  <c r="AB35" i="2"/>
  <c r="AA35" i="2"/>
  <c r="Z35" i="2"/>
  <c r="Y35" i="2"/>
  <c r="X35" i="2"/>
  <c r="V35" i="2"/>
  <c r="U35" i="2"/>
  <c r="T35" i="2"/>
  <c r="S35" i="2"/>
  <c r="R35" i="2"/>
  <c r="AR34" i="2"/>
  <c r="AN34" i="2"/>
  <c r="AP34" i="2" s="1"/>
  <c r="AM34" i="2"/>
  <c r="AK34" i="2"/>
  <c r="AI34" i="2"/>
  <c r="AH34" i="2"/>
  <c r="AG34" i="2"/>
  <c r="AF34" i="2"/>
  <c r="AE34" i="2"/>
  <c r="AD34" i="2"/>
  <c r="AB34" i="2"/>
  <c r="AA34" i="2"/>
  <c r="Z34" i="2"/>
  <c r="Y34" i="2"/>
  <c r="X34" i="2"/>
  <c r="V34" i="2"/>
  <c r="U34" i="2"/>
  <c r="T34" i="2"/>
  <c r="S34" i="2"/>
  <c r="R34" i="2"/>
  <c r="AR33" i="2"/>
  <c r="AN33" i="2"/>
  <c r="AP33" i="2" s="1"/>
  <c r="AM33" i="2"/>
  <c r="AK33" i="2"/>
  <c r="AI33" i="2"/>
  <c r="AH33" i="2"/>
  <c r="AG33" i="2"/>
  <c r="AF33" i="2"/>
  <c r="AE33" i="2"/>
  <c r="AD33" i="2"/>
  <c r="AB33" i="2"/>
  <c r="AA33" i="2"/>
  <c r="Z33" i="2"/>
  <c r="Y33" i="2"/>
  <c r="X33" i="2"/>
  <c r="V33" i="2"/>
  <c r="U33" i="2"/>
  <c r="T33" i="2"/>
  <c r="S33" i="2"/>
  <c r="R33" i="2"/>
  <c r="AR32" i="2"/>
  <c r="AN32" i="2"/>
  <c r="AP32" i="2" s="1"/>
  <c r="AM32" i="2"/>
  <c r="AK32" i="2"/>
  <c r="AI32" i="2"/>
  <c r="AH32" i="2"/>
  <c r="AG32" i="2"/>
  <c r="AF32" i="2"/>
  <c r="AE32" i="2"/>
  <c r="AD32" i="2"/>
  <c r="AB32" i="2"/>
  <c r="AA32" i="2"/>
  <c r="Z32" i="2"/>
  <c r="Y32" i="2"/>
  <c r="X32" i="2"/>
  <c r="V32" i="2"/>
  <c r="U32" i="2"/>
  <c r="T32" i="2"/>
  <c r="S32" i="2"/>
  <c r="R32" i="2"/>
  <c r="R3" i="2"/>
  <c r="S3" i="2"/>
  <c r="T3" i="2"/>
  <c r="U3" i="2"/>
  <c r="V3" i="2"/>
  <c r="R4" i="2"/>
  <c r="S4" i="2"/>
  <c r="T4" i="2"/>
  <c r="U4" i="2"/>
  <c r="V4" i="2"/>
  <c r="R5" i="2"/>
  <c r="S5" i="2"/>
  <c r="T5" i="2"/>
  <c r="U5" i="2"/>
  <c r="V5" i="2"/>
  <c r="R6" i="2"/>
  <c r="S6" i="2"/>
  <c r="T6" i="2"/>
  <c r="U6" i="2"/>
  <c r="V6" i="2"/>
  <c r="R7" i="2"/>
  <c r="S7" i="2"/>
  <c r="T7" i="2"/>
  <c r="U7" i="2"/>
  <c r="V7" i="2"/>
  <c r="R8" i="2"/>
  <c r="S8" i="2"/>
  <c r="T8" i="2"/>
  <c r="U8" i="2"/>
  <c r="V8" i="2"/>
  <c r="R9" i="2"/>
  <c r="S9" i="2"/>
  <c r="T9" i="2"/>
  <c r="U9" i="2"/>
  <c r="V9" i="2"/>
  <c r="R10" i="2"/>
  <c r="S10" i="2"/>
  <c r="T10" i="2"/>
  <c r="U10" i="2"/>
  <c r="V10" i="2"/>
  <c r="R11" i="2"/>
  <c r="S11" i="2"/>
  <c r="T11" i="2"/>
  <c r="U11" i="2"/>
  <c r="V11" i="2"/>
  <c r="R12" i="2"/>
  <c r="S12" i="2"/>
  <c r="T12" i="2"/>
  <c r="U12" i="2"/>
  <c r="V12" i="2"/>
  <c r="R13" i="2"/>
  <c r="S13" i="2"/>
  <c r="T13" i="2"/>
  <c r="U13" i="2"/>
  <c r="V13" i="2"/>
  <c r="R14" i="2"/>
  <c r="S14" i="2"/>
  <c r="T14" i="2"/>
  <c r="U14" i="2"/>
  <c r="V14" i="2"/>
  <c r="R15" i="2"/>
  <c r="S15" i="2"/>
  <c r="T15" i="2"/>
  <c r="U15" i="2"/>
  <c r="V15" i="2"/>
  <c r="R16" i="2"/>
  <c r="S16" i="2"/>
  <c r="T16" i="2"/>
  <c r="U16" i="2"/>
  <c r="V16" i="2"/>
  <c r="R17" i="2"/>
  <c r="S17" i="2"/>
  <c r="T17" i="2"/>
  <c r="U17" i="2"/>
  <c r="V17" i="2"/>
  <c r="R18" i="2"/>
  <c r="S18" i="2"/>
  <c r="T18" i="2"/>
  <c r="U18" i="2"/>
  <c r="V18" i="2"/>
  <c r="R19" i="2"/>
  <c r="S19" i="2"/>
  <c r="T19" i="2"/>
  <c r="U19" i="2"/>
  <c r="V19" i="2"/>
  <c r="R20" i="2"/>
  <c r="S20" i="2"/>
  <c r="T20" i="2"/>
  <c r="U20" i="2"/>
  <c r="V20" i="2"/>
  <c r="R21" i="2"/>
  <c r="S21" i="2"/>
  <c r="T21" i="2"/>
  <c r="U21" i="2"/>
  <c r="V21" i="2"/>
  <c r="R22" i="2"/>
  <c r="S22" i="2"/>
  <c r="T22" i="2"/>
  <c r="U22" i="2"/>
  <c r="V22" i="2"/>
  <c r="R23" i="2"/>
  <c r="S23" i="2"/>
  <c r="T23" i="2"/>
  <c r="U23" i="2"/>
  <c r="V23" i="2"/>
  <c r="R24" i="2"/>
  <c r="S24" i="2"/>
  <c r="T24" i="2"/>
  <c r="U24" i="2"/>
  <c r="V24" i="2"/>
  <c r="R25" i="2"/>
  <c r="S25" i="2"/>
  <c r="T25" i="2"/>
  <c r="U25" i="2"/>
  <c r="V25" i="2"/>
  <c r="R26" i="2"/>
  <c r="S26" i="2"/>
  <c r="T26" i="2"/>
  <c r="U26" i="2"/>
  <c r="V26" i="2"/>
  <c r="R27" i="2"/>
  <c r="S27" i="2"/>
  <c r="T27" i="2"/>
  <c r="U27" i="2"/>
  <c r="V27" i="2"/>
  <c r="R28" i="2"/>
  <c r="S28" i="2"/>
  <c r="T28" i="2"/>
  <c r="U28" i="2"/>
  <c r="V28" i="2"/>
  <c r="R29" i="2"/>
  <c r="S29" i="2"/>
  <c r="T29" i="2"/>
  <c r="U29" i="2"/>
  <c r="V29" i="2"/>
  <c r="R30" i="2"/>
  <c r="S30" i="2"/>
  <c r="T30" i="2"/>
  <c r="U30" i="2"/>
  <c r="V30" i="2"/>
  <c r="R31" i="2"/>
  <c r="S31" i="2"/>
  <c r="T31" i="2"/>
  <c r="U31" i="2"/>
  <c r="V31" i="2"/>
  <c r="V2" i="2"/>
  <c r="U2" i="2"/>
  <c r="T2" i="2"/>
  <c r="S2" i="2"/>
  <c r="R2" i="2"/>
  <c r="Q2" i="3"/>
  <c r="AF8" i="2"/>
  <c r="AE3" i="2"/>
  <c r="W2" i="3"/>
  <c r="AM29" i="4"/>
  <c r="AM28" i="4"/>
  <c r="AM26" i="4"/>
  <c r="AE2" i="2"/>
  <c r="AR3" i="2"/>
  <c r="AR4" i="2"/>
  <c r="AR5" i="2"/>
  <c r="AR6" i="2"/>
  <c r="AR7" i="2"/>
  <c r="AR8" i="2"/>
  <c r="AR9" i="2"/>
  <c r="AR10" i="2"/>
  <c r="AR11" i="2"/>
  <c r="AR12" i="2"/>
  <c r="AR13" i="2"/>
  <c r="AR14" i="2"/>
  <c r="AR15" i="2"/>
  <c r="AR16" i="2"/>
  <c r="AR17" i="2"/>
  <c r="AR18" i="2"/>
  <c r="AR19" i="2"/>
  <c r="AR20" i="2"/>
  <c r="AR21" i="2"/>
  <c r="AR22" i="2"/>
  <c r="AR23" i="2"/>
  <c r="AR24" i="2"/>
  <c r="AR25" i="2"/>
  <c r="AR26" i="2"/>
  <c r="AR27" i="2"/>
  <c r="AR28" i="2"/>
  <c r="AR29" i="2"/>
  <c r="AR30" i="2"/>
  <c r="AR31" i="2"/>
  <c r="AM3" i="2"/>
  <c r="AN3" i="2"/>
  <c r="AP3" i="2" s="1"/>
  <c r="AM4" i="2"/>
  <c r="AN4" i="2"/>
  <c r="AP4" i="2" s="1"/>
  <c r="AM5" i="2"/>
  <c r="AN5" i="2"/>
  <c r="AP5" i="2" s="1"/>
  <c r="AM6" i="2"/>
  <c r="AN6" i="2"/>
  <c r="AP6" i="2" s="1"/>
  <c r="AM7" i="2"/>
  <c r="AN7" i="2"/>
  <c r="AP7" i="2" s="1"/>
  <c r="AM8" i="2"/>
  <c r="AN8" i="2"/>
  <c r="AP8" i="2" s="1"/>
  <c r="E18" i="14" s="1"/>
  <c r="AM9" i="2"/>
  <c r="AN9" i="2"/>
  <c r="AP9" i="2" s="1"/>
  <c r="AM10" i="2"/>
  <c r="AN10" i="2"/>
  <c r="AP10" i="2" s="1"/>
  <c r="AM11" i="2"/>
  <c r="AN11" i="2"/>
  <c r="AP11" i="2" s="1"/>
  <c r="AM12" i="2"/>
  <c r="AN12" i="2"/>
  <c r="AP12" i="2" s="1"/>
  <c r="AM13" i="2"/>
  <c r="AN13" i="2"/>
  <c r="AP13" i="2" s="1"/>
  <c r="AM14" i="2"/>
  <c r="AN14" i="2"/>
  <c r="AP14" i="2" s="1"/>
  <c r="AM15" i="2"/>
  <c r="AN15" i="2"/>
  <c r="AP15" i="2" s="1"/>
  <c r="AM16" i="2"/>
  <c r="AN16" i="2"/>
  <c r="AP16" i="2" s="1"/>
  <c r="AM17" i="2"/>
  <c r="AN17" i="2"/>
  <c r="AP17" i="2" s="1"/>
  <c r="AM18" i="2"/>
  <c r="AN18" i="2"/>
  <c r="AP18" i="2" s="1"/>
  <c r="AM19" i="2"/>
  <c r="AN19" i="2"/>
  <c r="AP19" i="2" s="1"/>
  <c r="AM20" i="2"/>
  <c r="AN20" i="2"/>
  <c r="AP20" i="2" s="1"/>
  <c r="AM21" i="2"/>
  <c r="AN21" i="2"/>
  <c r="AP21" i="2" s="1"/>
  <c r="AM22" i="2"/>
  <c r="AN22" i="2"/>
  <c r="AP22" i="2" s="1"/>
  <c r="AM23" i="2"/>
  <c r="AN23" i="2"/>
  <c r="AP23" i="2" s="1"/>
  <c r="AM24" i="2"/>
  <c r="AN24" i="2"/>
  <c r="AP24" i="2" s="1"/>
  <c r="AM25" i="2"/>
  <c r="AN25" i="2"/>
  <c r="AP25" i="2" s="1"/>
  <c r="AM26" i="2"/>
  <c r="AN26" i="2"/>
  <c r="AP26" i="2" s="1"/>
  <c r="AM27" i="2"/>
  <c r="AN27" i="2"/>
  <c r="AP27" i="2" s="1"/>
  <c r="AM28" i="2"/>
  <c r="AN28" i="2"/>
  <c r="AP28" i="2" s="1"/>
  <c r="AM29" i="2"/>
  <c r="AN29" i="2"/>
  <c r="AP29" i="2" s="1"/>
  <c r="AM30" i="2"/>
  <c r="AN30" i="2"/>
  <c r="AP30" i="2" s="1"/>
  <c r="AM31" i="2"/>
  <c r="AN31" i="2"/>
  <c r="AP31" i="2" s="1"/>
  <c r="AK3" i="2"/>
  <c r="AK4" i="2"/>
  <c r="AK5" i="2"/>
  <c r="AK6" i="2"/>
  <c r="AK7" i="2"/>
  <c r="AK8" i="2"/>
  <c r="AK9" i="2"/>
  <c r="AK10" i="2"/>
  <c r="AK11" i="2"/>
  <c r="AK12" i="2"/>
  <c r="AK13" i="2"/>
  <c r="AK14" i="2"/>
  <c r="AK15" i="2"/>
  <c r="AK16" i="2"/>
  <c r="AK17" i="2"/>
  <c r="AK18" i="2"/>
  <c r="AK19" i="2"/>
  <c r="AK20" i="2"/>
  <c r="AK21" i="2"/>
  <c r="AK22" i="2"/>
  <c r="AK23" i="2"/>
  <c r="AK24" i="2"/>
  <c r="AK25" i="2"/>
  <c r="AK26" i="2"/>
  <c r="AK27" i="2"/>
  <c r="AK28" i="2"/>
  <c r="AK29" i="2"/>
  <c r="AK30" i="2"/>
  <c r="AK31" i="2"/>
  <c r="AD3" i="2"/>
  <c r="AF3" i="2"/>
  <c r="AG3" i="2"/>
  <c r="AH3" i="2"/>
  <c r="AI3" i="2"/>
  <c r="AD4" i="2"/>
  <c r="AE4" i="2"/>
  <c r="AF4" i="2"/>
  <c r="AG4" i="2"/>
  <c r="AH4" i="2"/>
  <c r="AI4" i="2"/>
  <c r="AD5" i="2"/>
  <c r="AE5" i="2"/>
  <c r="AF5" i="2"/>
  <c r="AG5" i="2"/>
  <c r="AH5" i="2"/>
  <c r="AI5" i="2"/>
  <c r="AD6" i="2"/>
  <c r="AE6" i="2"/>
  <c r="AF6" i="2"/>
  <c r="AG6" i="2"/>
  <c r="AH6" i="2"/>
  <c r="AI6" i="2"/>
  <c r="AD7" i="2"/>
  <c r="AE7" i="2"/>
  <c r="AF7" i="2"/>
  <c r="AG7" i="2"/>
  <c r="AH7" i="2"/>
  <c r="AI7" i="2"/>
  <c r="AD8" i="2"/>
  <c r="AE8" i="2"/>
  <c r="AG8" i="2"/>
  <c r="AH8" i="2"/>
  <c r="AI8" i="2"/>
  <c r="AD9" i="2"/>
  <c r="AE9" i="2"/>
  <c r="AF9" i="2"/>
  <c r="AG9" i="2"/>
  <c r="AH9" i="2"/>
  <c r="AI9" i="2"/>
  <c r="AD10" i="2"/>
  <c r="AE10" i="2"/>
  <c r="AF10" i="2"/>
  <c r="AG10" i="2"/>
  <c r="AH10" i="2"/>
  <c r="AI10" i="2"/>
  <c r="AD11" i="2"/>
  <c r="AE11" i="2"/>
  <c r="AF11" i="2"/>
  <c r="AG11" i="2"/>
  <c r="AH11" i="2"/>
  <c r="AI11" i="2"/>
  <c r="AD12" i="2"/>
  <c r="AE12" i="2"/>
  <c r="AF12" i="2"/>
  <c r="AG12" i="2"/>
  <c r="AH12" i="2"/>
  <c r="AI12" i="2"/>
  <c r="AD13" i="2"/>
  <c r="AE13" i="2"/>
  <c r="AF13" i="2"/>
  <c r="AG13" i="2"/>
  <c r="AH13" i="2"/>
  <c r="AI13" i="2"/>
  <c r="AD14" i="2"/>
  <c r="AE14" i="2"/>
  <c r="AF14" i="2"/>
  <c r="AG14" i="2"/>
  <c r="AH14" i="2"/>
  <c r="AI14" i="2"/>
  <c r="AD15" i="2"/>
  <c r="AE15" i="2"/>
  <c r="AF15" i="2"/>
  <c r="AG15" i="2"/>
  <c r="AH15" i="2"/>
  <c r="AI15" i="2"/>
  <c r="AD16" i="2"/>
  <c r="AE16" i="2"/>
  <c r="AF16" i="2"/>
  <c r="AG16" i="2"/>
  <c r="AH16" i="2"/>
  <c r="AI16" i="2"/>
  <c r="AD17" i="2"/>
  <c r="AE17" i="2"/>
  <c r="AF17" i="2"/>
  <c r="AG17" i="2"/>
  <c r="AH17" i="2"/>
  <c r="AI17" i="2"/>
  <c r="AD18" i="2"/>
  <c r="AE18" i="2"/>
  <c r="AF18" i="2"/>
  <c r="AG18" i="2"/>
  <c r="AH18" i="2"/>
  <c r="AI18" i="2"/>
  <c r="AD19" i="2"/>
  <c r="AE19" i="2"/>
  <c r="AF19" i="2"/>
  <c r="AG19" i="2"/>
  <c r="AH19" i="2"/>
  <c r="AI19" i="2"/>
  <c r="AD20" i="2"/>
  <c r="AE20" i="2"/>
  <c r="AF20" i="2"/>
  <c r="AG20" i="2"/>
  <c r="AH20" i="2"/>
  <c r="AI20" i="2"/>
  <c r="AD21" i="2"/>
  <c r="AE21" i="2"/>
  <c r="AF21" i="2"/>
  <c r="AG21" i="2"/>
  <c r="AH21" i="2"/>
  <c r="AI21" i="2"/>
  <c r="AD22" i="2"/>
  <c r="AE22" i="2"/>
  <c r="AF22" i="2"/>
  <c r="AG22" i="2"/>
  <c r="AH22" i="2"/>
  <c r="AI22" i="2"/>
  <c r="AD23" i="2"/>
  <c r="AE23" i="2"/>
  <c r="AF23" i="2"/>
  <c r="AG23" i="2"/>
  <c r="AH23" i="2"/>
  <c r="AI23" i="2"/>
  <c r="AD24" i="2"/>
  <c r="AE24" i="2"/>
  <c r="AF24" i="2"/>
  <c r="AG24" i="2"/>
  <c r="AH24" i="2"/>
  <c r="AI24" i="2"/>
  <c r="AD25" i="2"/>
  <c r="AE25" i="2"/>
  <c r="AF25" i="2"/>
  <c r="AG25" i="2"/>
  <c r="AH25" i="2"/>
  <c r="AI25" i="2"/>
  <c r="AD26" i="2"/>
  <c r="AE26" i="2"/>
  <c r="AF26" i="2"/>
  <c r="AG26" i="2"/>
  <c r="AH26" i="2"/>
  <c r="AI26" i="2"/>
  <c r="AD27" i="2"/>
  <c r="AE27" i="2"/>
  <c r="AF27" i="2"/>
  <c r="AG27" i="2"/>
  <c r="AH27" i="2"/>
  <c r="AI27" i="2"/>
  <c r="AD28" i="2"/>
  <c r="AE28" i="2"/>
  <c r="AF28" i="2"/>
  <c r="AG28" i="2"/>
  <c r="AH28" i="2"/>
  <c r="AI28" i="2"/>
  <c r="AD29" i="2"/>
  <c r="AE29" i="2"/>
  <c r="AF29" i="2"/>
  <c r="AG29" i="2"/>
  <c r="AH29" i="2"/>
  <c r="AI29" i="2"/>
  <c r="AD30" i="2"/>
  <c r="AE30" i="2"/>
  <c r="AF30" i="2"/>
  <c r="AG30" i="2"/>
  <c r="AH30" i="2"/>
  <c r="AI30" i="2"/>
  <c r="AD31" i="2"/>
  <c r="AE31" i="2"/>
  <c r="AF31" i="2"/>
  <c r="AG31" i="2"/>
  <c r="AH31" i="2"/>
  <c r="AI31" i="2"/>
  <c r="N3" i="2"/>
  <c r="O3" i="2"/>
  <c r="P3" i="2"/>
  <c r="Q3" i="2"/>
  <c r="X3" i="2"/>
  <c r="Y3" i="2"/>
  <c r="Z3" i="2"/>
  <c r="AA3" i="2"/>
  <c r="AB3" i="2"/>
  <c r="N4" i="2"/>
  <c r="O4" i="2"/>
  <c r="P4" i="2"/>
  <c r="Q4" i="2"/>
  <c r="X4" i="2"/>
  <c r="Y4" i="2"/>
  <c r="Z4" i="2"/>
  <c r="AA4" i="2"/>
  <c r="AB4" i="2"/>
  <c r="N5" i="2"/>
  <c r="O5" i="2"/>
  <c r="P5" i="2"/>
  <c r="Q5" i="2"/>
  <c r="X5" i="2"/>
  <c r="Y5" i="2"/>
  <c r="Z5" i="2"/>
  <c r="AA5" i="2"/>
  <c r="AB5" i="2"/>
  <c r="N6" i="2"/>
  <c r="O6" i="2"/>
  <c r="P6" i="2"/>
  <c r="Q6" i="2"/>
  <c r="X6" i="2"/>
  <c r="Y6" i="2"/>
  <c r="Z6" i="2"/>
  <c r="AA6" i="2"/>
  <c r="AB6" i="2"/>
  <c r="N7" i="2"/>
  <c r="O7" i="2"/>
  <c r="P7" i="2"/>
  <c r="Q7" i="2"/>
  <c r="X7" i="2"/>
  <c r="Y7" i="2"/>
  <c r="Z7" i="2"/>
  <c r="AA7" i="2"/>
  <c r="AB7" i="2"/>
  <c r="N8" i="2"/>
  <c r="O8" i="2"/>
  <c r="P8" i="2"/>
  <c r="Q8" i="2"/>
  <c r="X8" i="2"/>
  <c r="Y8" i="2"/>
  <c r="Z8" i="2"/>
  <c r="AA8" i="2"/>
  <c r="AB8" i="2"/>
  <c r="N9" i="2"/>
  <c r="O9" i="2"/>
  <c r="P9" i="2"/>
  <c r="Q9" i="2"/>
  <c r="X9" i="2"/>
  <c r="Y9" i="2"/>
  <c r="Z9" i="2"/>
  <c r="AA9" i="2"/>
  <c r="AB9" i="2"/>
  <c r="N10" i="2"/>
  <c r="O10" i="2"/>
  <c r="P10" i="2"/>
  <c r="Q10" i="2"/>
  <c r="X10" i="2"/>
  <c r="Y10" i="2"/>
  <c r="Z10" i="2"/>
  <c r="AA10" i="2"/>
  <c r="AB10" i="2"/>
  <c r="N11" i="2"/>
  <c r="O11" i="2"/>
  <c r="P11" i="2"/>
  <c r="Q11" i="2"/>
  <c r="X11" i="2"/>
  <c r="Y11" i="2"/>
  <c r="Z11" i="2"/>
  <c r="AA11" i="2"/>
  <c r="AB11" i="2"/>
  <c r="N12" i="2"/>
  <c r="O12" i="2"/>
  <c r="P12" i="2"/>
  <c r="Q12" i="2"/>
  <c r="X12" i="2"/>
  <c r="Y12" i="2"/>
  <c r="Z12" i="2"/>
  <c r="AA12" i="2"/>
  <c r="AB12" i="2"/>
  <c r="N13" i="2"/>
  <c r="O13" i="2"/>
  <c r="P13" i="2"/>
  <c r="Q13" i="2"/>
  <c r="X13" i="2"/>
  <c r="Y13" i="2"/>
  <c r="Z13" i="2"/>
  <c r="AA13" i="2"/>
  <c r="AB13" i="2"/>
  <c r="N14" i="2"/>
  <c r="O14" i="2"/>
  <c r="P14" i="2"/>
  <c r="Q14" i="2"/>
  <c r="X14" i="2"/>
  <c r="Y14" i="2"/>
  <c r="Z14" i="2"/>
  <c r="AA14" i="2"/>
  <c r="AB14" i="2"/>
  <c r="N15" i="2"/>
  <c r="O15" i="2"/>
  <c r="P15" i="2"/>
  <c r="Q15" i="2"/>
  <c r="X15" i="2"/>
  <c r="Y15" i="2"/>
  <c r="Z15" i="2"/>
  <c r="AA15" i="2"/>
  <c r="AB15" i="2"/>
  <c r="N16" i="2"/>
  <c r="O16" i="2"/>
  <c r="P16" i="2"/>
  <c r="Q16" i="2"/>
  <c r="X16" i="2"/>
  <c r="Y16" i="2"/>
  <c r="Z16" i="2"/>
  <c r="AA16" i="2"/>
  <c r="AB16" i="2"/>
  <c r="N17" i="2"/>
  <c r="O17" i="2"/>
  <c r="P17" i="2"/>
  <c r="Q17" i="2"/>
  <c r="X17" i="2"/>
  <c r="Y17" i="2"/>
  <c r="Z17" i="2"/>
  <c r="AA17" i="2"/>
  <c r="AB17" i="2"/>
  <c r="N18" i="2"/>
  <c r="O18" i="2"/>
  <c r="P18" i="2"/>
  <c r="Q18" i="2"/>
  <c r="X18" i="2"/>
  <c r="Y18" i="2"/>
  <c r="Z18" i="2"/>
  <c r="AA18" i="2"/>
  <c r="AB18" i="2"/>
  <c r="N19" i="2"/>
  <c r="O19" i="2"/>
  <c r="P19" i="2"/>
  <c r="Q19" i="2"/>
  <c r="X19" i="2"/>
  <c r="Y19" i="2"/>
  <c r="Z19" i="2"/>
  <c r="AA19" i="2"/>
  <c r="AB19" i="2"/>
  <c r="N20" i="2"/>
  <c r="O20" i="2"/>
  <c r="P20" i="2"/>
  <c r="Q20" i="2"/>
  <c r="X20" i="2"/>
  <c r="Y20" i="2"/>
  <c r="Z20" i="2"/>
  <c r="AA20" i="2"/>
  <c r="AB20" i="2"/>
  <c r="N21" i="2"/>
  <c r="O21" i="2"/>
  <c r="P21" i="2"/>
  <c r="Q21" i="2"/>
  <c r="X21" i="2"/>
  <c r="Y21" i="2"/>
  <c r="Z21" i="2"/>
  <c r="AA21" i="2"/>
  <c r="AB21" i="2"/>
  <c r="N22" i="2"/>
  <c r="O22" i="2"/>
  <c r="P22" i="2"/>
  <c r="Q22" i="2"/>
  <c r="X22" i="2"/>
  <c r="Y22" i="2"/>
  <c r="Z22" i="2"/>
  <c r="AA22" i="2"/>
  <c r="AB22" i="2"/>
  <c r="N23" i="2"/>
  <c r="O23" i="2"/>
  <c r="P23" i="2"/>
  <c r="Q23" i="2"/>
  <c r="X23" i="2"/>
  <c r="Y23" i="2"/>
  <c r="Z23" i="2"/>
  <c r="AA23" i="2"/>
  <c r="AB23" i="2"/>
  <c r="N24" i="2"/>
  <c r="O24" i="2"/>
  <c r="P24" i="2"/>
  <c r="Q24" i="2"/>
  <c r="X24" i="2"/>
  <c r="Y24" i="2"/>
  <c r="Z24" i="2"/>
  <c r="AA24" i="2"/>
  <c r="AB24" i="2"/>
  <c r="N25" i="2"/>
  <c r="O25" i="2"/>
  <c r="P25" i="2"/>
  <c r="Q25" i="2"/>
  <c r="X25" i="2"/>
  <c r="Y25" i="2"/>
  <c r="Z25" i="2"/>
  <c r="AA25" i="2"/>
  <c r="AB25" i="2"/>
  <c r="N26" i="2"/>
  <c r="O26" i="2"/>
  <c r="P26" i="2"/>
  <c r="Q26" i="2"/>
  <c r="X26" i="2"/>
  <c r="Y26" i="2"/>
  <c r="Z26" i="2"/>
  <c r="AA26" i="2"/>
  <c r="AB26" i="2"/>
  <c r="N27" i="2"/>
  <c r="O27" i="2"/>
  <c r="P27" i="2"/>
  <c r="Q27" i="2"/>
  <c r="X27" i="2"/>
  <c r="Y27" i="2"/>
  <c r="Z27" i="2"/>
  <c r="AA27" i="2"/>
  <c r="AB27" i="2"/>
  <c r="N28" i="2"/>
  <c r="O28" i="2"/>
  <c r="P28" i="2"/>
  <c r="Q28" i="2"/>
  <c r="X28" i="2"/>
  <c r="Y28" i="2"/>
  <c r="Z28" i="2"/>
  <c r="AA28" i="2"/>
  <c r="AB28" i="2"/>
  <c r="N29" i="2"/>
  <c r="O29" i="2"/>
  <c r="P29" i="2"/>
  <c r="Q29" i="2"/>
  <c r="X29" i="2"/>
  <c r="Y29" i="2"/>
  <c r="Z29" i="2"/>
  <c r="AA29" i="2"/>
  <c r="AB29" i="2"/>
  <c r="N30" i="2"/>
  <c r="O30" i="2"/>
  <c r="P30" i="2"/>
  <c r="Q30" i="2"/>
  <c r="X30" i="2"/>
  <c r="Y30" i="2"/>
  <c r="Z30" i="2"/>
  <c r="AA30" i="2"/>
  <c r="AB30" i="2"/>
  <c r="N31" i="2"/>
  <c r="O31" i="2"/>
  <c r="P31" i="2"/>
  <c r="Q31" i="2"/>
  <c r="X31" i="2"/>
  <c r="Y31" i="2"/>
  <c r="Z31" i="2"/>
  <c r="AA31" i="2"/>
  <c r="AB31" i="2"/>
  <c r="B2" i="18"/>
  <c r="AK3" i="4"/>
  <c r="AL3" i="4"/>
  <c r="AM3" i="4"/>
  <c r="AN3" i="4"/>
  <c r="AK4" i="4"/>
  <c r="AL4" i="4"/>
  <c r="AM4" i="4"/>
  <c r="AN4" i="4"/>
  <c r="AK5" i="4"/>
  <c r="AL5" i="4"/>
  <c r="AM5" i="4"/>
  <c r="AN5" i="4"/>
  <c r="AK6" i="4"/>
  <c r="AL6" i="4"/>
  <c r="AM6" i="4"/>
  <c r="AN6" i="4"/>
  <c r="AK7" i="4"/>
  <c r="AL7" i="4"/>
  <c r="AM7" i="4"/>
  <c r="AN7" i="4"/>
  <c r="AK8" i="4"/>
  <c r="AL8" i="4"/>
  <c r="AM8" i="4"/>
  <c r="AN8" i="4"/>
  <c r="AK9" i="4"/>
  <c r="AL9" i="4"/>
  <c r="AM9" i="4"/>
  <c r="AN9" i="4"/>
  <c r="AK10" i="4"/>
  <c r="AL10" i="4"/>
  <c r="AM10" i="4"/>
  <c r="AN10" i="4"/>
  <c r="AK11" i="4"/>
  <c r="AL11" i="4"/>
  <c r="AM11" i="4"/>
  <c r="AN11" i="4"/>
  <c r="AK12" i="4"/>
  <c r="AL12" i="4"/>
  <c r="AM12" i="4"/>
  <c r="AN12" i="4"/>
  <c r="AK13" i="4"/>
  <c r="AL13" i="4"/>
  <c r="AM13" i="4"/>
  <c r="AN13" i="4"/>
  <c r="AK14" i="4"/>
  <c r="AL14" i="4"/>
  <c r="AM14" i="4"/>
  <c r="AN14" i="4"/>
  <c r="AK15" i="4"/>
  <c r="AL15" i="4"/>
  <c r="AM15" i="4"/>
  <c r="AN15" i="4"/>
  <c r="AK16" i="4"/>
  <c r="AL16" i="4"/>
  <c r="AM16" i="4"/>
  <c r="AN16" i="4"/>
  <c r="AK17" i="4"/>
  <c r="AL17" i="4"/>
  <c r="AM17" i="4"/>
  <c r="AN17" i="4"/>
  <c r="AK18" i="4"/>
  <c r="AL18" i="4"/>
  <c r="AM18" i="4"/>
  <c r="AN18" i="4"/>
  <c r="AK19" i="4"/>
  <c r="AL19" i="4"/>
  <c r="AM19" i="4"/>
  <c r="AN19" i="4"/>
  <c r="AK20" i="4"/>
  <c r="AL20" i="4"/>
  <c r="AM20" i="4"/>
  <c r="AN20" i="4"/>
  <c r="AK21" i="4"/>
  <c r="AL21" i="4"/>
  <c r="AM21" i="4"/>
  <c r="AN21" i="4"/>
  <c r="AK22" i="4"/>
  <c r="AL22" i="4"/>
  <c r="AM22" i="4"/>
  <c r="AN22" i="4"/>
  <c r="AK23" i="4"/>
  <c r="AL23" i="4"/>
  <c r="AM23" i="4"/>
  <c r="AN23" i="4"/>
  <c r="AK24" i="4"/>
  <c r="AL24" i="4"/>
  <c r="AM24" i="4"/>
  <c r="AN24" i="4"/>
  <c r="AK25" i="4"/>
  <c r="AL25" i="4"/>
  <c r="AM25" i="4"/>
  <c r="AN25" i="4"/>
  <c r="AK26" i="4"/>
  <c r="AL26" i="4"/>
  <c r="AN26" i="4"/>
  <c r="AK27" i="4"/>
  <c r="AL27" i="4"/>
  <c r="AM27" i="4"/>
  <c r="AN27" i="4"/>
  <c r="AK28" i="4"/>
  <c r="AL28" i="4"/>
  <c r="AN28" i="4"/>
  <c r="AK29" i="4"/>
  <c r="AL29" i="4"/>
  <c r="AN29" i="4"/>
  <c r="AK30" i="4"/>
  <c r="AL30" i="4"/>
  <c r="AM30" i="4"/>
  <c r="AN30" i="4"/>
  <c r="AK31" i="4"/>
  <c r="AL31" i="4"/>
  <c r="AM31" i="4"/>
  <c r="AN31" i="4"/>
  <c r="AM2" i="4"/>
  <c r="AN2" i="4"/>
  <c r="AL2" i="4"/>
  <c r="AK2" i="4"/>
  <c r="AD3" i="4"/>
  <c r="AE3" i="4"/>
  <c r="AF3" i="4"/>
  <c r="AG3" i="4"/>
  <c r="AH3" i="4"/>
  <c r="AD4" i="4"/>
  <c r="AE4" i="4"/>
  <c r="AF4" i="4"/>
  <c r="AG4" i="4"/>
  <c r="AH4" i="4"/>
  <c r="AD5" i="4"/>
  <c r="AE5" i="4"/>
  <c r="AF5" i="4"/>
  <c r="AG5" i="4"/>
  <c r="AH5" i="4"/>
  <c r="AD6" i="4"/>
  <c r="AE6" i="4"/>
  <c r="AF6" i="4"/>
  <c r="AG6" i="4"/>
  <c r="AH6" i="4"/>
  <c r="AD7" i="4"/>
  <c r="AE7" i="4"/>
  <c r="AF7" i="4"/>
  <c r="AG7" i="4"/>
  <c r="AH7" i="4"/>
  <c r="AD8" i="4"/>
  <c r="AE8" i="4"/>
  <c r="AF8" i="4"/>
  <c r="AG8" i="4"/>
  <c r="AH8" i="4"/>
  <c r="AD9" i="4"/>
  <c r="AE9" i="4"/>
  <c r="AF9" i="4"/>
  <c r="AG9" i="4"/>
  <c r="AH9" i="4"/>
  <c r="AD10" i="4"/>
  <c r="AE10" i="4"/>
  <c r="AF10" i="4"/>
  <c r="AG10" i="4"/>
  <c r="AH10" i="4"/>
  <c r="AD11" i="4"/>
  <c r="AE11" i="4"/>
  <c r="AF11" i="4"/>
  <c r="AG11" i="4"/>
  <c r="AH11" i="4"/>
  <c r="AD12" i="4"/>
  <c r="AE12" i="4"/>
  <c r="AF12" i="4"/>
  <c r="AG12" i="4"/>
  <c r="AH12" i="4"/>
  <c r="AD13" i="4"/>
  <c r="AE13" i="4"/>
  <c r="AF13" i="4"/>
  <c r="AG13" i="4"/>
  <c r="AH13" i="4"/>
  <c r="AD14" i="4"/>
  <c r="AE14" i="4"/>
  <c r="AF14" i="4"/>
  <c r="AG14" i="4"/>
  <c r="AH14" i="4"/>
  <c r="AD15" i="4"/>
  <c r="AE15" i="4"/>
  <c r="AF15" i="4"/>
  <c r="AG15" i="4"/>
  <c r="AH15" i="4"/>
  <c r="AD16" i="4"/>
  <c r="AE16" i="4"/>
  <c r="AF16" i="4"/>
  <c r="AG16" i="4"/>
  <c r="AH16" i="4"/>
  <c r="AD17" i="4"/>
  <c r="AE17" i="4"/>
  <c r="AF17" i="4"/>
  <c r="AG17" i="4"/>
  <c r="AH17" i="4"/>
  <c r="AD18" i="4"/>
  <c r="AE18" i="4"/>
  <c r="AF18" i="4"/>
  <c r="AG18" i="4"/>
  <c r="AH18" i="4"/>
  <c r="AD19" i="4"/>
  <c r="AE19" i="4"/>
  <c r="AF19" i="4"/>
  <c r="AG19" i="4"/>
  <c r="AH19" i="4"/>
  <c r="AD20" i="4"/>
  <c r="AE20" i="4"/>
  <c r="AF20" i="4"/>
  <c r="AG20" i="4"/>
  <c r="AH20" i="4"/>
  <c r="AD21" i="4"/>
  <c r="AE21" i="4"/>
  <c r="AF21" i="4"/>
  <c r="AG21" i="4"/>
  <c r="AH21" i="4"/>
  <c r="AD22" i="4"/>
  <c r="AE22" i="4"/>
  <c r="AF22" i="4"/>
  <c r="AG22" i="4"/>
  <c r="AH22" i="4"/>
  <c r="AD23" i="4"/>
  <c r="AE23" i="4"/>
  <c r="AF23" i="4"/>
  <c r="AG23" i="4"/>
  <c r="AH23" i="4"/>
  <c r="AD24" i="4"/>
  <c r="AE24" i="4"/>
  <c r="AF24" i="4"/>
  <c r="AG24" i="4"/>
  <c r="AH24" i="4"/>
  <c r="AD25" i="4"/>
  <c r="AE25" i="4"/>
  <c r="AF25" i="4"/>
  <c r="AG25" i="4"/>
  <c r="AH25" i="4"/>
  <c r="AD26" i="4"/>
  <c r="AE26" i="4"/>
  <c r="AF26" i="4"/>
  <c r="AG26" i="4"/>
  <c r="AH26" i="4"/>
  <c r="AD27" i="4"/>
  <c r="AE27" i="4"/>
  <c r="AF27" i="4"/>
  <c r="AG27" i="4"/>
  <c r="AH27" i="4"/>
  <c r="AD28" i="4"/>
  <c r="AE28" i="4"/>
  <c r="AF28" i="4"/>
  <c r="AG28" i="4"/>
  <c r="AH28" i="4"/>
  <c r="AD29" i="4"/>
  <c r="AE29" i="4"/>
  <c r="AF29" i="4"/>
  <c r="AG29" i="4"/>
  <c r="AH29" i="4"/>
  <c r="AD30" i="4"/>
  <c r="AE30" i="4"/>
  <c r="AF30" i="4"/>
  <c r="AG30" i="4"/>
  <c r="AH30" i="4"/>
  <c r="AD31" i="4"/>
  <c r="AE31" i="4"/>
  <c r="AF31" i="4"/>
  <c r="AG31" i="4"/>
  <c r="AH31" i="4"/>
  <c r="AH2" i="4"/>
  <c r="AG2" i="4"/>
  <c r="AF2" i="4"/>
  <c r="AE2" i="4"/>
  <c r="AD2" i="4"/>
  <c r="AB3" i="4"/>
  <c r="AB4" i="4"/>
  <c r="AB5" i="4"/>
  <c r="AB6" i="4"/>
  <c r="AB7" i="4"/>
  <c r="AB8" i="4"/>
  <c r="AB9" i="4"/>
  <c r="AB10" i="4"/>
  <c r="AB11" i="4"/>
  <c r="AB12" i="4"/>
  <c r="AB13" i="4"/>
  <c r="AB14" i="4"/>
  <c r="AB15" i="4"/>
  <c r="AB16" i="4"/>
  <c r="AB17" i="4"/>
  <c r="AB18" i="4"/>
  <c r="AB19" i="4"/>
  <c r="AB20" i="4"/>
  <c r="AB21" i="4"/>
  <c r="AB22" i="4"/>
  <c r="AB23" i="4"/>
  <c r="AB24" i="4"/>
  <c r="AB25" i="4"/>
  <c r="AB26" i="4"/>
  <c r="AB27" i="4"/>
  <c r="AB28" i="4"/>
  <c r="AB29" i="4"/>
  <c r="AB30" i="4"/>
  <c r="AB31" i="4"/>
  <c r="AB2" i="4"/>
  <c r="Z3" i="4"/>
  <c r="Z4" i="4"/>
  <c r="Z5" i="4"/>
  <c r="Z6" i="4"/>
  <c r="Z7" i="4"/>
  <c r="Z8" i="4"/>
  <c r="Z9" i="4"/>
  <c r="Z10" i="4"/>
  <c r="Z11" i="4"/>
  <c r="Z12" i="4"/>
  <c r="Z13" i="4"/>
  <c r="Z14" i="4"/>
  <c r="Z15" i="4"/>
  <c r="Z16" i="4"/>
  <c r="Z17" i="4"/>
  <c r="Z18" i="4"/>
  <c r="Z19" i="4"/>
  <c r="Z20" i="4"/>
  <c r="Z21" i="4"/>
  <c r="Z22" i="4"/>
  <c r="Z23" i="4"/>
  <c r="Z24" i="4"/>
  <c r="Z25" i="4"/>
  <c r="Z26" i="4"/>
  <c r="Z27" i="4"/>
  <c r="Z28" i="4"/>
  <c r="Z29" i="4"/>
  <c r="Z30" i="4"/>
  <c r="Z31" i="4"/>
  <c r="Z2" i="4"/>
  <c r="N3" i="4"/>
  <c r="O3" i="4"/>
  <c r="P3" i="4"/>
  <c r="Q3" i="4"/>
  <c r="R3" i="4"/>
  <c r="S3" i="4"/>
  <c r="T3" i="4"/>
  <c r="U3" i="4"/>
  <c r="V3" i="4"/>
  <c r="W3" i="4"/>
  <c r="X3" i="4"/>
  <c r="N4" i="4"/>
  <c r="O4" i="4"/>
  <c r="P4" i="4"/>
  <c r="Q4" i="4"/>
  <c r="R4" i="4"/>
  <c r="S4" i="4"/>
  <c r="T4" i="4"/>
  <c r="U4" i="4"/>
  <c r="V4" i="4"/>
  <c r="W4" i="4"/>
  <c r="X4" i="4"/>
  <c r="N5" i="4"/>
  <c r="O5" i="4"/>
  <c r="P5" i="4"/>
  <c r="Q5" i="4"/>
  <c r="R5" i="4"/>
  <c r="S5" i="4"/>
  <c r="T5" i="4"/>
  <c r="U5" i="4"/>
  <c r="V5" i="4"/>
  <c r="W5" i="4"/>
  <c r="X5" i="4"/>
  <c r="N6" i="4"/>
  <c r="O6" i="4"/>
  <c r="P6" i="4"/>
  <c r="Q6" i="4"/>
  <c r="R6" i="4"/>
  <c r="S6" i="4"/>
  <c r="T6" i="4"/>
  <c r="U6" i="4"/>
  <c r="V6" i="4"/>
  <c r="W6" i="4"/>
  <c r="X6" i="4"/>
  <c r="N7" i="4"/>
  <c r="O7" i="4"/>
  <c r="P7" i="4"/>
  <c r="Q7" i="4"/>
  <c r="R7" i="4"/>
  <c r="S7" i="4"/>
  <c r="T7" i="4"/>
  <c r="U7" i="4"/>
  <c r="V7" i="4"/>
  <c r="W7" i="4"/>
  <c r="X7" i="4"/>
  <c r="N8" i="4"/>
  <c r="O8" i="4"/>
  <c r="P8" i="4"/>
  <c r="Q8" i="4"/>
  <c r="R8" i="4"/>
  <c r="S8" i="4"/>
  <c r="T8" i="4"/>
  <c r="U8" i="4"/>
  <c r="V8" i="4"/>
  <c r="W8" i="4"/>
  <c r="X8" i="4"/>
  <c r="N9" i="4"/>
  <c r="O9" i="4"/>
  <c r="P9" i="4"/>
  <c r="Q9" i="4"/>
  <c r="R9" i="4"/>
  <c r="S9" i="4"/>
  <c r="T9" i="4"/>
  <c r="U9" i="4"/>
  <c r="V9" i="4"/>
  <c r="W9" i="4"/>
  <c r="X9" i="4"/>
  <c r="N10" i="4"/>
  <c r="O10" i="4"/>
  <c r="P10" i="4"/>
  <c r="Q10" i="4"/>
  <c r="R10" i="4"/>
  <c r="S10" i="4"/>
  <c r="T10" i="4"/>
  <c r="U10" i="4"/>
  <c r="V10" i="4"/>
  <c r="W10" i="4"/>
  <c r="X10" i="4"/>
  <c r="N11" i="4"/>
  <c r="O11" i="4"/>
  <c r="P11" i="4"/>
  <c r="Q11" i="4"/>
  <c r="R11" i="4"/>
  <c r="S11" i="4"/>
  <c r="T11" i="4"/>
  <c r="U11" i="4"/>
  <c r="V11" i="4"/>
  <c r="W11" i="4"/>
  <c r="X11" i="4"/>
  <c r="N12" i="4"/>
  <c r="O12" i="4"/>
  <c r="P12" i="4"/>
  <c r="Q12" i="4"/>
  <c r="R12" i="4"/>
  <c r="S12" i="4"/>
  <c r="T12" i="4"/>
  <c r="U12" i="4"/>
  <c r="V12" i="4"/>
  <c r="W12" i="4"/>
  <c r="X12" i="4"/>
  <c r="N13" i="4"/>
  <c r="O13" i="4"/>
  <c r="P13" i="4"/>
  <c r="Q13" i="4"/>
  <c r="R13" i="4"/>
  <c r="S13" i="4"/>
  <c r="T13" i="4"/>
  <c r="U13" i="4"/>
  <c r="V13" i="4"/>
  <c r="W13" i="4"/>
  <c r="X13" i="4"/>
  <c r="N14" i="4"/>
  <c r="O14" i="4"/>
  <c r="P14" i="4"/>
  <c r="Q14" i="4"/>
  <c r="R14" i="4"/>
  <c r="S14" i="4"/>
  <c r="T14" i="4"/>
  <c r="U14" i="4"/>
  <c r="V14" i="4"/>
  <c r="W14" i="4"/>
  <c r="X14" i="4"/>
  <c r="N15" i="4"/>
  <c r="O15" i="4"/>
  <c r="P15" i="4"/>
  <c r="Q15" i="4"/>
  <c r="R15" i="4"/>
  <c r="S15" i="4"/>
  <c r="T15" i="4"/>
  <c r="U15" i="4"/>
  <c r="V15" i="4"/>
  <c r="W15" i="4"/>
  <c r="X15" i="4"/>
  <c r="N16" i="4"/>
  <c r="O16" i="4"/>
  <c r="P16" i="4"/>
  <c r="Q16" i="4"/>
  <c r="R16" i="4"/>
  <c r="S16" i="4"/>
  <c r="T16" i="4"/>
  <c r="U16" i="4"/>
  <c r="V16" i="4"/>
  <c r="W16" i="4"/>
  <c r="X16" i="4"/>
  <c r="N17" i="4"/>
  <c r="O17" i="4"/>
  <c r="P17" i="4"/>
  <c r="Q17" i="4"/>
  <c r="R17" i="4"/>
  <c r="S17" i="4"/>
  <c r="T17" i="4"/>
  <c r="U17" i="4"/>
  <c r="V17" i="4"/>
  <c r="W17" i="4"/>
  <c r="X17" i="4"/>
  <c r="N18" i="4"/>
  <c r="O18" i="4"/>
  <c r="P18" i="4"/>
  <c r="Q18" i="4"/>
  <c r="R18" i="4"/>
  <c r="S18" i="4"/>
  <c r="T18" i="4"/>
  <c r="U18" i="4"/>
  <c r="V18" i="4"/>
  <c r="W18" i="4"/>
  <c r="X18" i="4"/>
  <c r="N19" i="4"/>
  <c r="O19" i="4"/>
  <c r="P19" i="4"/>
  <c r="Q19" i="4"/>
  <c r="R19" i="4"/>
  <c r="S19" i="4"/>
  <c r="T19" i="4"/>
  <c r="U19" i="4"/>
  <c r="V19" i="4"/>
  <c r="W19" i="4"/>
  <c r="X19" i="4"/>
  <c r="N20" i="4"/>
  <c r="O20" i="4"/>
  <c r="P20" i="4"/>
  <c r="Q20" i="4"/>
  <c r="R20" i="4"/>
  <c r="S20" i="4"/>
  <c r="T20" i="4"/>
  <c r="U20" i="4"/>
  <c r="V20" i="4"/>
  <c r="W20" i="4"/>
  <c r="X20" i="4"/>
  <c r="N21" i="4"/>
  <c r="O21" i="4"/>
  <c r="P21" i="4"/>
  <c r="Q21" i="4"/>
  <c r="R21" i="4"/>
  <c r="S21" i="4"/>
  <c r="T21" i="4"/>
  <c r="U21" i="4"/>
  <c r="V21" i="4"/>
  <c r="W21" i="4"/>
  <c r="X21" i="4"/>
  <c r="N22" i="4"/>
  <c r="O22" i="4"/>
  <c r="P22" i="4"/>
  <c r="Q22" i="4"/>
  <c r="R22" i="4"/>
  <c r="S22" i="4"/>
  <c r="T22" i="4"/>
  <c r="U22" i="4"/>
  <c r="V22" i="4"/>
  <c r="W22" i="4"/>
  <c r="X22" i="4"/>
  <c r="N23" i="4"/>
  <c r="O23" i="4"/>
  <c r="P23" i="4"/>
  <c r="Q23" i="4"/>
  <c r="R23" i="4"/>
  <c r="S23" i="4"/>
  <c r="T23" i="4"/>
  <c r="U23" i="4"/>
  <c r="V23" i="4"/>
  <c r="W23" i="4"/>
  <c r="X23" i="4"/>
  <c r="N24" i="4"/>
  <c r="O24" i="4"/>
  <c r="P24" i="4"/>
  <c r="Q24" i="4"/>
  <c r="R24" i="4"/>
  <c r="S24" i="4"/>
  <c r="T24" i="4"/>
  <c r="U24" i="4"/>
  <c r="V24" i="4"/>
  <c r="W24" i="4"/>
  <c r="X24" i="4"/>
  <c r="N25" i="4"/>
  <c r="O25" i="4"/>
  <c r="P25" i="4"/>
  <c r="Q25" i="4"/>
  <c r="R25" i="4"/>
  <c r="S25" i="4"/>
  <c r="T25" i="4"/>
  <c r="U25" i="4"/>
  <c r="V25" i="4"/>
  <c r="W25" i="4"/>
  <c r="X25" i="4"/>
  <c r="N26" i="4"/>
  <c r="O26" i="4"/>
  <c r="P26" i="4"/>
  <c r="Q26" i="4"/>
  <c r="R26" i="4"/>
  <c r="S26" i="4"/>
  <c r="T26" i="4"/>
  <c r="U26" i="4"/>
  <c r="V26" i="4"/>
  <c r="W26" i="4"/>
  <c r="X26" i="4"/>
  <c r="N27" i="4"/>
  <c r="O27" i="4"/>
  <c r="P27" i="4"/>
  <c r="Q27" i="4"/>
  <c r="R27" i="4"/>
  <c r="S27" i="4"/>
  <c r="T27" i="4"/>
  <c r="U27" i="4"/>
  <c r="V27" i="4"/>
  <c r="W27" i="4"/>
  <c r="X27" i="4"/>
  <c r="N28" i="4"/>
  <c r="O28" i="4"/>
  <c r="P28" i="4"/>
  <c r="Q28" i="4"/>
  <c r="R28" i="4"/>
  <c r="S28" i="4"/>
  <c r="T28" i="4"/>
  <c r="U28" i="4"/>
  <c r="V28" i="4"/>
  <c r="W28" i="4"/>
  <c r="X28" i="4"/>
  <c r="N29" i="4"/>
  <c r="O29" i="4"/>
  <c r="P29" i="4"/>
  <c r="Q29" i="4"/>
  <c r="R29" i="4"/>
  <c r="S29" i="4"/>
  <c r="T29" i="4"/>
  <c r="U29" i="4"/>
  <c r="V29" i="4"/>
  <c r="W29" i="4"/>
  <c r="X29" i="4"/>
  <c r="N30" i="4"/>
  <c r="O30" i="4"/>
  <c r="P30" i="4"/>
  <c r="Q30" i="4"/>
  <c r="R30" i="4"/>
  <c r="S30" i="4"/>
  <c r="T30" i="4"/>
  <c r="U30" i="4"/>
  <c r="V30" i="4"/>
  <c r="W30" i="4"/>
  <c r="X30" i="4"/>
  <c r="N31" i="4"/>
  <c r="O31" i="4"/>
  <c r="P31" i="4"/>
  <c r="Q31" i="4"/>
  <c r="R31" i="4"/>
  <c r="S31" i="4"/>
  <c r="T31" i="4"/>
  <c r="U31" i="4"/>
  <c r="V31" i="4"/>
  <c r="W31" i="4"/>
  <c r="X31" i="4"/>
  <c r="X2" i="4"/>
  <c r="W2" i="4"/>
  <c r="V2" i="4"/>
  <c r="U2" i="4"/>
  <c r="T2" i="4"/>
  <c r="S2" i="4"/>
  <c r="R2" i="4"/>
  <c r="Q2" i="4"/>
  <c r="P2" i="4"/>
  <c r="O2" i="4"/>
  <c r="N2" i="4"/>
  <c r="AR2" i="2"/>
  <c r="AN2" i="2"/>
  <c r="AP2" i="2" s="1"/>
  <c r="AM2" i="2"/>
  <c r="AK2" i="2"/>
  <c r="AI2" i="2"/>
  <c r="AH2" i="2"/>
  <c r="AG2" i="2"/>
  <c r="AD2" i="2"/>
  <c r="AA2" i="2"/>
  <c r="Z2" i="2"/>
  <c r="Y2" i="2"/>
  <c r="X2" i="2"/>
  <c r="Q2" i="2"/>
  <c r="P2" i="2"/>
  <c r="O2" i="2"/>
  <c r="N2" i="2"/>
  <c r="W76" i="2" l="1"/>
  <c r="W71" i="2"/>
  <c r="W72" i="2"/>
  <c r="W75" i="2"/>
  <c r="AP70" i="2"/>
  <c r="E56" i="14" s="1"/>
  <c r="W62" i="2"/>
  <c r="W70" i="2"/>
  <c r="W73" i="2"/>
  <c r="W69" i="2"/>
  <c r="W77" i="2"/>
  <c r="W74" i="2"/>
  <c r="W68" i="2"/>
  <c r="W51" i="2"/>
  <c r="W42" i="2"/>
  <c r="E53" i="14"/>
  <c r="W33" i="2"/>
  <c r="W53" i="2"/>
  <c r="W35" i="2"/>
  <c r="W59" i="2"/>
  <c r="W37" i="2"/>
  <c r="W48" i="2"/>
  <c r="W50" i="2"/>
  <c r="W65" i="2"/>
  <c r="W63" i="2"/>
  <c r="W67" i="2"/>
  <c r="W34" i="2"/>
  <c r="W43" i="2"/>
  <c r="W52" i="2"/>
  <c r="W54" i="2"/>
  <c r="W58" i="2"/>
  <c r="W36" i="2"/>
  <c r="W38" i="2"/>
  <c r="W47" i="2"/>
  <c r="W49" i="2"/>
  <c r="W66" i="2"/>
  <c r="W40" i="2"/>
  <c r="W45" i="2"/>
  <c r="W55" i="2"/>
  <c r="W57" i="2"/>
  <c r="W60" i="2"/>
  <c r="W64" i="2"/>
  <c r="W32" i="2"/>
  <c r="W39" i="2"/>
  <c r="W41" i="2"/>
  <c r="W44" i="2"/>
  <c r="W46" i="2"/>
  <c r="W56" i="2"/>
  <c r="W61" i="2"/>
  <c r="W31" i="2"/>
  <c r="W15" i="2"/>
  <c r="W20" i="2"/>
  <c r="W18" i="2"/>
  <c r="W4" i="2"/>
  <c r="W23" i="2"/>
  <c r="W7" i="2"/>
  <c r="W26" i="2"/>
  <c r="W10" i="2"/>
  <c r="W2" i="2"/>
  <c r="W27" i="2"/>
  <c r="W19" i="2"/>
  <c r="W11" i="2"/>
  <c r="W3" i="2"/>
  <c r="W30" i="2"/>
  <c r="W22" i="2"/>
  <c r="W14" i="2"/>
  <c r="W6" i="2"/>
  <c r="W17" i="2"/>
  <c r="W24" i="2"/>
  <c r="W8" i="2"/>
  <c r="W21" i="2"/>
  <c r="W5" i="2"/>
  <c r="W28" i="2"/>
  <c r="W12" i="2"/>
  <c r="W25" i="2"/>
  <c r="W9" i="2"/>
  <c r="W16" i="2"/>
  <c r="W29" i="2"/>
  <c r="W13" i="2"/>
  <c r="E34" i="14"/>
  <c r="E31" i="14"/>
  <c r="E8" i="14"/>
  <c r="E7" i="14"/>
  <c r="E39" i="14"/>
  <c r="E33" i="14"/>
  <c r="E37" i="14"/>
  <c r="E32" i="14"/>
  <c r="E40" i="14"/>
  <c r="E29" i="14"/>
  <c r="E25" i="14"/>
  <c r="E28" i="14"/>
  <c r="E36" i="14"/>
  <c r="E27" i="14"/>
  <c r="E30" i="14"/>
  <c r="E23" i="14"/>
  <c r="E42" i="14"/>
  <c r="E43" i="14"/>
  <c r="E22" i="14"/>
  <c r="E26" i="14"/>
  <c r="E35" i="14"/>
  <c r="E10" i="14"/>
  <c r="E13" i="14"/>
  <c r="E19" i="14"/>
  <c r="E20" i="14"/>
  <c r="E14" i="14"/>
  <c r="E12" i="14"/>
  <c r="E15" i="14"/>
  <c r="E6" i="14"/>
  <c r="E2" i="14"/>
  <c r="E5" i="14"/>
  <c r="E4" i="14"/>
  <c r="E38" i="14"/>
  <c r="E52" i="14"/>
  <c r="E41" i="14"/>
  <c r="R2" i="3"/>
  <c r="S2" i="3" s="1"/>
  <c r="E54" i="14"/>
  <c r="O2" i="3"/>
  <c r="E46" i="14" s="1"/>
  <c r="N2" i="3"/>
  <c r="E45" i="14" s="1"/>
  <c r="M2" i="3"/>
  <c r="E44" i="14" s="1"/>
  <c r="K2" i="3"/>
  <c r="E51" i="14" s="1"/>
  <c r="J2" i="3"/>
  <c r="E50" i="14" s="1"/>
  <c r="I2" i="3"/>
  <c r="E49" i="14" s="1"/>
  <c r="H2" i="3"/>
  <c r="E48" i="14" s="1"/>
  <c r="G2" i="3"/>
  <c r="E47" i="14" s="1"/>
  <c r="AF2" i="2"/>
  <c r="E3" i="14" s="1"/>
  <c r="AB2" i="2"/>
  <c r="S4" i="3" l="1"/>
  <c r="S3" i="3"/>
  <c r="E17" i="14"/>
  <c r="E16" i="14"/>
  <c r="E9" i="14"/>
  <c r="B4" i="18"/>
  <c r="B3" i="18"/>
  <c r="E55" i="14" l="1"/>
  <c r="E24" i="14"/>
  <c r="E11" i="14" l="1"/>
  <c r="E21" i="14"/>
  <c r="AO17" i="2"/>
  <c r="AO4" i="2"/>
  <c r="AO59" i="2"/>
  <c r="AO21" i="2"/>
  <c r="AO47" i="2"/>
  <c r="AO55" i="2"/>
  <c r="AO46" i="2"/>
  <c r="AO13" i="2"/>
  <c r="AO30" i="2"/>
  <c r="AO25" i="2"/>
  <c r="AO10" i="2"/>
  <c r="AO38" i="2"/>
  <c r="AO75" i="2"/>
  <c r="AO74" i="2"/>
  <c r="AO48" i="2"/>
  <c r="AO35" i="2"/>
  <c r="AO77" i="2"/>
  <c r="AO9" i="2"/>
  <c r="AO67" i="2"/>
  <c r="AO33" i="2"/>
  <c r="AO45" i="2"/>
  <c r="AO3" i="2"/>
  <c r="AO71" i="2"/>
  <c r="AO11" i="2"/>
  <c r="AO44" i="2"/>
  <c r="AO40" i="2"/>
  <c r="AO63" i="2"/>
  <c r="AO53" i="2"/>
  <c r="AO42" i="2"/>
  <c r="AO58" i="2"/>
  <c r="AO68" i="2"/>
  <c r="AO31" i="2"/>
  <c r="AO18" i="2"/>
  <c r="AO24" i="2"/>
  <c r="AO73" i="2"/>
  <c r="AO57" i="2"/>
  <c r="AO76" i="2"/>
  <c r="AO37" i="2"/>
  <c r="AO62" i="2"/>
  <c r="AO72" i="2"/>
  <c r="AO20" i="2"/>
  <c r="AO69" i="2"/>
  <c r="AO36" i="2"/>
  <c r="AO66" i="2"/>
  <c r="AO70" i="2"/>
  <c r="AO60" i="2"/>
  <c r="AO12" i="2"/>
  <c r="AO65" i="2"/>
  <c r="AO16" i="2"/>
  <c r="AO6" i="2"/>
  <c r="AO61" i="2"/>
  <c r="AO7" i="2"/>
  <c r="AO54" i="2"/>
  <c r="AO50" i="2"/>
  <c r="AO22" i="2"/>
  <c r="AO32" i="2"/>
  <c r="AO23" i="2"/>
  <c r="AO14" i="2"/>
  <c r="AO5" i="2"/>
  <c r="AO8" i="2"/>
  <c r="AO43" i="2"/>
  <c r="AO29" i="2"/>
  <c r="AO28" i="2"/>
  <c r="AO34" i="2"/>
  <c r="AO41" i="2"/>
  <c r="AO49" i="2"/>
  <c r="AO39" i="2"/>
  <c r="AO64" i="2"/>
  <c r="AO52" i="2"/>
  <c r="AO51" i="2"/>
  <c r="AO26" i="2"/>
  <c r="AO15" i="2"/>
  <c r="AO27" i="2"/>
  <c r="AO19" i="2"/>
  <c r="AO2" i="2"/>
  <c r="AO56"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6A509EE-EC83-4DEB-BEF1-9C78517A7851}" keepAlive="1" name="Query - Business Metadata(1)" description="Connection to the 'Business Metadata' query in the workbook." type="5" refreshedVersion="8" background="1" saveData="1">
    <dbPr connection="Provider=Microsoft.Mashup.OleDb.1;Data Source=$Workbook$;Location=&quot;Business Metadata&quot;;Extended Properties=&quot;&quot;" command="SELECT * FROM [Business Metadata]"/>
  </connection>
  <connection id="2" xr16:uid="{5517D9E3-3E92-428D-8994-F1D2EFD89E60}" keepAlive="1" name="Query - Calculate_Business Metadata" description="Connection to the 'Calculate_Business Metadata' query in the workbook." type="5" refreshedVersion="8" background="1" saveData="1">
    <dbPr connection="Provider=Microsoft.Mashup.OleDb.1;Data Source=$Workbook$;Location=&quot;Calculate_Business Metadata&quot;;Extended Properties=&quot;&quot;" command="SELECT * FROM [Calculate_Business Metadata]"/>
  </connection>
  <connection id="3" xr16:uid="{D157F683-3A43-48A0-B769-6B55C09A2012}" keepAlive="1" name="Query - Calculate_Technical Metadata - Column" description="Connection to the 'Calculate_Technical Metadata - Column' query in the workbook." type="5" refreshedVersion="8" background="1" saveData="1">
    <dbPr connection="Provider=Microsoft.Mashup.OleDb.1;Data Source=$Workbook$;Location=&quot;Calculate_Technical Metadata - Column&quot;;Extended Properties=&quot;&quot;" command="SELECT * FROM [Calculate_Technical Metadata - Column]"/>
  </connection>
  <connection id="4" xr16:uid="{A59CABA9-3016-4B16-B731-F031AA4D5AA2}" keepAlive="1" name="Query - Calculate_Technical Metadata - Data Set" description="Connection to the 'Calculate_Technical Metadata - Data Set' query in the workbook." type="5" refreshedVersion="8" background="1" saveData="1">
    <dbPr connection="Provider=Microsoft.Mashup.OleDb.1;Data Source=$Workbook$;Location=&quot;Calculate_Technical Metadata - Data Set&quot;;Extended Properties=&quot;&quot;" command="SELECT * FROM [Calculate_Technical Metadata - Data Set]"/>
  </connection>
  <connection id="5" xr16:uid="{A744827B-7A34-4F2B-B327-ECC89A4F5657}" keepAlive="1" name="Query - Source" description="Connection to the 'Source' query in the workbook." type="5" refreshedVersion="0" background="1">
    <dbPr connection="Provider=Microsoft.Mashup.OleDb.1;Data Source=$Workbook$;Location=Source;Extended Properties=&quot;&quot;" command="SELECT * FROM [Source]"/>
  </connection>
  <connection id="6" xr16:uid="{A71770A6-D091-446F-8B87-763487090766}" keepAlive="1" name="Query - Technical Column" description="Connection to the 'Technical Column' query in the workbook." type="5" refreshedVersion="8" background="1" saveData="1">
    <dbPr connection="Provider=Microsoft.Mashup.OleDb.1;Data Source=$Workbook$;Location=&quot;Technical Column&quot;;Extended Properties=&quot;&quot;" command="SELECT * FROM [Technical Column]"/>
  </connection>
  <connection id="7" xr16:uid="{946EF903-8140-40E0-9C52-F5C38244B6E5}" keepAlive="1" name="Query - Technical Data Set" description="Connection to the 'Technical Data Set' query in the workbook." type="5" refreshedVersion="8" background="1" saveData="1">
    <dbPr connection="Provider=Microsoft.Mashup.OleDb.1;Data Source=$Workbook$;Location=&quot;Technical Data Set&quot;;Extended Properties=&quot;&quot;" command="SELECT * FROM [Technical Data Set]"/>
  </connection>
</connections>
</file>

<file path=xl/sharedStrings.xml><?xml version="1.0" encoding="utf-8"?>
<sst xmlns="http://schemas.openxmlformats.org/spreadsheetml/2006/main" count="7938" uniqueCount="922">
  <si>
    <t>DataX Data Governance - Metadata</t>
  </si>
  <si>
    <t>Metadata Quality Calculate Metric Template - Operationalization</t>
  </si>
  <si>
    <t xml:space="preserve">                                                                                                                                                                                                                                       </t>
  </si>
  <si>
    <t>Version 02.00.00</t>
  </si>
  <si>
    <t>Instruction</t>
  </si>
  <si>
    <t>This file for calculate quality metric which contain 5 tab sheet as Mandatory</t>
  </si>
  <si>
    <t>No.</t>
  </si>
  <si>
    <t>Tab sheet</t>
  </si>
  <si>
    <t>Description</t>
  </si>
  <si>
    <t>Scope &amp; Condition by field</t>
  </si>
  <si>
    <t>Refer to the shortcut guidelines to define conditions for calculating quality metrics.</t>
  </si>
  <si>
    <t>Summary</t>
  </si>
  <si>
    <t>Summarize quality metric results by field.</t>
  </si>
  <si>
    <t>Element</t>
  </si>
  <si>
    <t>Provide a summary of the total elements.</t>
  </si>
  <si>
    <t>Cal_Business Metadata</t>
  </si>
  <si>
    <t>Compute metadata quality metrics in the Business Part.</t>
  </si>
  <si>
    <t>Cal_Technical - Data Set</t>
  </si>
  <si>
    <t>Compute metadata quality metrics in the Technical Dataset part.</t>
  </si>
  <si>
    <t>Cal_Technical - Column</t>
  </si>
  <si>
    <t>Compute metadata quality metrics in the Technical Column section.</t>
  </si>
  <si>
    <t>For How to setting file calculate template</t>
  </si>
  <si>
    <t>Refer:</t>
  </si>
  <si>
    <t>Metadata Quality Metric Manual Setting_V01.00.00</t>
  </si>
  <si>
    <t>System/Data Subject Area Name</t>
  </si>
  <si>
    <t>Schema/Database Name</t>
  </si>
  <si>
    <t>Data Set Name</t>
  </si>
  <si>
    <t>Column Name</t>
  </si>
  <si>
    <t>Data Zone (MDZ/GDZ)</t>
  </si>
  <si>
    <t>PII/Non-PII</t>
  </si>
  <si>
    <t>CDE/Non-CDE</t>
  </si>
  <si>
    <t>Type</t>
  </si>
  <si>
    <t>Format</t>
  </si>
  <si>
    <t>Length</t>
  </si>
  <si>
    <t>Nullable</t>
  </si>
  <si>
    <t xml:space="preserve">Updated Date </t>
  </si>
  <si>
    <t>Updated By</t>
  </si>
  <si>
    <t>Additional Remarks</t>
  </si>
  <si>
    <t>Customer Information</t>
  </si>
  <si>
    <t>scbs_ds</t>
  </si>
  <si>
    <t>all_customers</t>
  </si>
  <si>
    <t>card_type</t>
  </si>
  <si>
    <t>INVX Data Lake</t>
  </si>
  <si>
    <t>Non-PII</t>
  </si>
  <si>
    <t>Y</t>
  </si>
  <si>
    <t>string</t>
  </si>
  <si>
    <t>Character</t>
  </si>
  <si>
    <t>-</t>
  </si>
  <si>
    <t>No</t>
  </si>
  <si>
    <t>Phatcharaporn L.</t>
  </si>
  <si>
    <t>passport_country</t>
  </si>
  <si>
    <t>2</t>
  </si>
  <si>
    <t>Yes</t>
  </si>
  <si>
    <t>card_number</t>
  </si>
  <si>
    <t>PII</t>
  </si>
  <si>
    <t>Numeric</t>
  </si>
  <si>
    <t>13</t>
  </si>
  <si>
    <t>Tossawat P</t>
  </si>
  <si>
    <t>card_expiry_date</t>
  </si>
  <si>
    <t>Date</t>
  </si>
  <si>
    <t>YYYY-MM-DD</t>
  </si>
  <si>
    <t>gender</t>
  </si>
  <si>
    <t>1</t>
  </si>
  <si>
    <t>birth_date</t>
  </si>
  <si>
    <t>nationality</t>
  </si>
  <si>
    <t>mobile_number</t>
  </si>
  <si>
    <t>10</t>
  </si>
  <si>
    <t>eq_firsttelno1</t>
  </si>
  <si>
    <t>N</t>
  </si>
  <si>
    <t>eq_firsttelno2</t>
  </si>
  <si>
    <t>eq_secondtelno1</t>
  </si>
  <si>
    <t>eq_secondtelno2</t>
  </si>
  <si>
    <t>eq_thirdtelno1</t>
  </si>
  <si>
    <t>eq_thirdtelno2</t>
  </si>
  <si>
    <t>marital_status</t>
  </si>
  <si>
    <t>occupation_id</t>
  </si>
  <si>
    <t>integer</t>
  </si>
  <si>
    <t>Number</t>
  </si>
  <si>
    <t>3</t>
  </si>
  <si>
    <t>occupation_other</t>
  </si>
  <si>
    <t>business_type_id</t>
  </si>
  <si>
    <t>business_type_other</t>
  </si>
  <si>
    <t>income_source</t>
  </si>
  <si>
    <t>income_source_other</t>
  </si>
  <si>
    <t>email</t>
  </si>
  <si>
    <t>999</t>
  </si>
  <si>
    <t>segment</t>
  </si>
  <si>
    <t>easy_invest_id</t>
  </si>
  <si>
    <t>income</t>
  </si>
  <si>
    <t>decimal(p,s)</t>
  </si>
  <si>
    <t>38,8</t>
  </si>
  <si>
    <t>single_app_datetime</t>
  </si>
  <si>
    <t>Timestamp</t>
  </si>
  <si>
    <t>scb_aum</t>
  </si>
  <si>
    <t>card_no_limit</t>
  </si>
  <si>
    <t>suitability_score</t>
  </si>
  <si>
    <t>suitability_review_date</t>
  </si>
  <si>
    <t>Data Set Description</t>
  </si>
  <si>
    <t>Data Set Update Frequency</t>
  </si>
  <si>
    <t>Updated Date</t>
  </si>
  <si>
    <t>The table that collects all customer data</t>
  </si>
  <si>
    <t>Daily</t>
  </si>
  <si>
    <t>Business Attribute Name</t>
  </si>
  <si>
    <t>Business Definition (EN)</t>
  </si>
  <si>
    <t>List of Allowable Values</t>
  </si>
  <si>
    <t>Sample Data</t>
  </si>
  <si>
    <t>Business Data Steward</t>
  </si>
  <si>
    <t>Data Owner</t>
  </si>
  <si>
    <t>Subdomain</t>
  </si>
  <si>
    <t>Card Type List</t>
  </si>
  <si>
    <t>Type of card that customers use as evidence for account opening(ประเภทบัตรที่ลูกค้าใช้เป็นหลักฐานในการเปิดบัญชี)
Sample list of allowable values include:
CITIZEN_CARD = บัตรประชาชน
PASSPORT = หนังสือเดินทาง
ALIEN_CARD = บัตรต่างด้าว
Company Tax ID = หมายเลขประจำตัวผู้เสียภาษีของบริษัท
Company No = หมายเลขบริษัท
Government_ID = หมายเลขรัฐวิสาหกิจ
Please refer to link of allowable values for complete list of allowable values.</t>
  </si>
  <si>
    <t>Card_Type</t>
  </si>
  <si>
    <t>CITIZEN_CARD
PASSPORT
ALIEN_CARD
Company Tax ID
Company No</t>
  </si>
  <si>
    <t>Nattaphat Buddharee</t>
  </si>
  <si>
    <t>Pichai Lertsupongkit</t>
  </si>
  <si>
    <t>Passport Country Code</t>
  </si>
  <si>
    <t>Passport_Country_code</t>
  </si>
  <si>
    <t>IN
CN
GB
US
JP</t>
  </si>
  <si>
    <t>Card Number</t>
  </si>
  <si>
    <t xml:space="preserve">Identification Number from the card the customer uses to open the account It can be a Thai ID card, passport No, or Alien identification card. This depends on the type of customer.
Identification Number จากบัตรที่ลูกค้าใช้เปิดบัญชี
</t>
  </si>
  <si>
    <t>351274171
TR4395794
Z2666801
1100200285146
1100200459250</t>
  </si>
  <si>
    <t>Card expiry Date</t>
  </si>
  <si>
    <t>Card expiration date means the date printed on the identification card used by the customer as evidence for opening an account. which indicates the expiration of the card's lifespan This date is set by the card issuing authority. The format should be ""YYYY-MM-DD"
record:
- If the customer does not have an expiration date on the card, the value will be 9999-12-31.
วันหมดอายุของบัตรที่ลูกค้าใช้เป็นหลักฐานในการเปิดบัญชี</t>
  </si>
  <si>
    <t>9999-12-31
2099-12-31
1970-01-01
2023-12-31
2026-12-31</t>
  </si>
  <si>
    <t>Gender Code</t>
  </si>
  <si>
    <t>Gender Code represents the code used to identify the gender of the customer.
Current list of allowable values includes: 
M = Male
F = Female
O = Other</t>
  </si>
  <si>
    <t>M
F
O</t>
  </si>
  <si>
    <t>Birth Date</t>
  </si>
  <si>
    <t>Birthday means the customer's date of birth. The storage format is YYYY-MM-DD.</t>
  </si>
  <si>
    <t>1900-01-01
1996-10-03
1995-01-01
1996-01-01
1995-12-05</t>
  </si>
  <si>
    <t>Nationality Code</t>
  </si>
  <si>
    <t>Nationality Code'</t>
  </si>
  <si>
    <t>TH
IN
CN
GB
US</t>
  </si>
  <si>
    <t>Mobile Number</t>
  </si>
  <si>
    <t>Mobile phone number means the customer's phone number used to contact them.
The format should be
Mobile phone number in Thailand (10 digits):
'0XX-XXX-XXXX' (X is an integer from 0 to 9)
Home telephone number within Thailand (9 digits):
'0X-XXX-XXXX' (X is an integer from 0 to 9)
Phone numbers outside Thailand (maximum 15 digits):
The format depends on the country but the format should be
Country Code + Country Destination Code + Member Number
Remark: Other values ​​that are 1 digit or [] or Null must be checked and corrected</t>
  </si>
  <si>
    <t>0000000000
0
0802221201
[]
0819181971</t>
  </si>
  <si>
    <t>First Equity's First Phone Number</t>
  </si>
  <si>
    <t>TBC</t>
  </si>
  <si>
    <t>0802221201
0894761228
0819181971
0818749586
0891409776</t>
  </si>
  <si>
    <t>First Equity's Second Phone Number</t>
  </si>
  <si>
    <t>[]
ไม่มี
000000000
0
038685155</t>
  </si>
  <si>
    <t>Second Equity's First Phone Number</t>
  </si>
  <si>
    <t>[]
0854881096
0000000000
0899574455
0802221201</t>
  </si>
  <si>
    <t>Second Equity's Second Phone Number</t>
  </si>
  <si>
    <t>[]
-
026616661
038493561
022608505</t>
  </si>
  <si>
    <t>Third Equity's First Phone Number</t>
  </si>
  <si>
    <t>[]
0802221201
0894761228
0819181971
0891409776</t>
  </si>
  <si>
    <t>Third Equity's Second Phone Number</t>
  </si>
  <si>
    <t>[]
-
ไม่มี
027443020
026616661</t>
  </si>
  <si>
    <t>Marital Status Code</t>
  </si>
  <si>
    <t>Marital Status Code reflects an individual's marital status.
Current list of allowable values:
S = Single = โสด
M = Married = แต่งงาน
D = Divorced = หย่า
Please refer to link of allowable values for complete list of allowable values.</t>
  </si>
  <si>
    <t>Marital Status Code'</t>
  </si>
  <si>
    <t>S
M
D
X</t>
  </si>
  <si>
    <t>Occupation Identifier</t>
  </si>
  <si>
    <t>Occupation Identifier (ID) is the customer's occupational code and is related to the occupational category. Because occupational codes can expand occupational categories.
Sample list of allowable values include:
3 = พนักงานบริษัทเอกชน/ลูกจ้าง
13 = อื่นๆ
1 = เจ้าของธุรกิจ
4 = ข้าราชการ
7 = นักศึกษา
Please refer to link of allowable values for complete list of allowable values.</t>
  </si>
  <si>
    <t>Occupation Identifier(ID)'</t>
  </si>
  <si>
    <t>3
13
1
7
4</t>
  </si>
  <si>
    <t>Other Occupation Description</t>
  </si>
  <si>
    <t>Additional career description In case the customer specifies Other occupation in the occupation_id field.
คำอธิบายอาชีพเพิ่มเติม กรณีลูกค้าระบุอาชีพอื่นๆ นอกเหนือจากข้อ 16</t>
  </si>
  <si>
    <t>พนักงานหรือลูกจ้างธุรกิจบริการ
พนักงานบริษัท
พนักงานหรือลูกจ้างกิจการอุตสาหกรรม
พนักงานหรือลูกจ้างกิจการพาณิชยกรรม
นักเรียน/นักศึกษา</t>
  </si>
  <si>
    <t>Business Type Identification Document Code</t>
  </si>
  <si>
    <t>Business type identity document code(ID) is a number assigned to a corporate entity to identify it as a legally organized business in which the customer occupation
Please refer to link of allowable values for complete list of allowable values.</t>
  </si>
  <si>
    <t>Business Type ID Code'</t>
  </si>
  <si>
    <t>1074
309
49
41
143</t>
  </si>
  <si>
    <t>Other Business type Description</t>
  </si>
  <si>
    <t>Additional business type description In the case where the customer specifies the business type as Other in the business_type_id field</t>
  </si>
  <si>
    <t>พนักงานหรือลูกจ้างธุรกิจบริการ
พนักงานหรือลูกจ้างกิจการอุตสาหกรรม
นักเรียน นิสิตและนักศึกษา
การขายปลีก (ยกเว้นยานยนต์และจักรยานยนต์)
ไม่ได้ทำงาน</t>
  </si>
  <si>
    <t>Income Source Name</t>
  </si>
  <si>
    <t>Sources of income refer to various methods. Where a person generates income and assets to achieve their financial goals to invest</t>
  </si>
  <si>
    <t>salary
savings
business
salary,savings
heritage
investment
other</t>
  </si>
  <si>
    <t>Other Income Source Name</t>
  </si>
  <si>
    <t>Description of the source of the money invested In the case that the customer specifies the field income_source as Other.
คำอธิบายแหล่งที่มาของเงินที่นำมาลงทุน กรณีลูกค้าระบุแหล่งอื่นๆ นอกเหนือจากข้อ 20</t>
  </si>
  <si>
    <t>อื่นๆโปรดระบุ
ค่าตอบแทนการให้บริการ
ดอกเบี้ย/เงินปันผล
ค่านายหน้า
เงินออม</t>
  </si>
  <si>
    <t>Email Address</t>
  </si>
  <si>
    <t>An email address is a unique identifier for an email account used to send and receive email messages over the Internet and is a form used to contact customers.
The format should be: Username@domain.xxx</t>
  </si>
  <si>
    <t>scbslocal@gmail.com
scbsonline@scb.co.th
info1@scbs.com</t>
  </si>
  <si>
    <t>Segment Name</t>
  </si>
  <si>
    <t>Segment means dividing customers into several groups. The purpose is to analyze or understand customers for maximum benefit. It is divided according to customers according to SCB Segment.</t>
  </si>
  <si>
    <t>MASS B
N/A
LOWER MASS
ASPIRING AFFLUENT (POTENTIAL)
AFFLUENT</t>
  </si>
  <si>
    <t>Easy Invest ID App</t>
  </si>
  <si>
    <t>Easy Invest ID App refers to the customer's email for using the Easy Invest App Application. When the customer uses it, a record or log will be kept for monitoring for use
The format should be: Username@domain.xxx</t>
  </si>
  <si>
    <t>ha-mew73@hotmail.com
wk.kiti@gmail.com
ratchata.n58@rsu.ac.th
AIMUP37@GMAIL.COM
natyada.watc@gmail.com</t>
  </si>
  <si>
    <t>Income Amount</t>
  </si>
  <si>
    <t>Income refers to the monthly income level. that the customer specifies when doing KYC. When collecting, it will be specified as the income range in which range of the income base</t>
  </si>
  <si>
    <t>10001
20001
30001
50001
100001</t>
  </si>
  <si>
    <t>Single App Timestamp</t>
  </si>
  <si>
    <t>2021-04-16 23:59:59.000
2021-04-12 23:59:59.000
2020-12-03 23:59:59.000
2018-09-28 23:59:59.000
2018-09-27 23:59:59.000</t>
  </si>
  <si>
    <t>Scb Asset under Management Amount</t>
  </si>
  <si>
    <t>Scb Asset under Management Amount refers to the value of all assets under management of Siam Commercial Bank. (including SCB Asset Management Co., Ltd.) as of the account opening date</t>
  </si>
  <si>
    <t>0.00000000
10000
20000
30000
400000</t>
  </si>
  <si>
    <t>Card Unlimited Amount</t>
  </si>
  <si>
    <t>600000
360000
400000
800000
540000</t>
  </si>
  <si>
    <t>Suitability Score</t>
  </si>
  <si>
    <t>Suitability score refers to a score based on an investment suitability assessment, which is an ethical and enforceable standard regarding investments. that financial professionals pay attention to when dealing with clients Before giving advice The advisor has a duty to ensure that the asset or product is appropriate for its goals. Need and acceptance of investment risks
Additionally, the value should be in the range of X to X.
Where:
&lt; 15 = Low-risk Investor
15-21 = Medium-to-low risk Investor
22-29 = Medium-to-high risk Investor
30-36 = High-risk Investor
&gt;= 37 Very=high-risk investor</t>
  </si>
  <si>
    <t>22
30
25
15
24</t>
  </si>
  <si>
    <t>Suitability review Date</t>
  </si>
  <si>
    <t>Suitability review Date refers to the date the investment suitability score is reviewed. To ensure that the asset or product is suitable for the investor's goals, the date on which the client evaluates or reviews the Suitability Score is current.
The format should be YYYY-MM-DD</t>
  </si>
  <si>
    <t>2023-07-01
2022-05-03
2022-06-01
2023-09-04
2023-09-11</t>
  </si>
  <si>
    <t>Metadata Type</t>
  </si>
  <si>
    <t>Metric</t>
  </si>
  <si>
    <t>Field</t>
  </si>
  <si>
    <t>Condition By Field</t>
  </si>
  <si>
    <t>Metadata Column</t>
  </si>
  <si>
    <t>Completeness</t>
  </si>
  <si>
    <t>Can not be blank</t>
  </si>
  <si>
    <t>PII/ Non-PII</t>
  </si>
  <si>
    <t>System/ Data Subject Area Name</t>
  </si>
  <si>
    <t>Consistency</t>
  </si>
  <si>
    <t>Data Set name</t>
  </si>
  <si>
    <t>Have data set in Metadata Data Set</t>
  </si>
  <si>
    <t>Uniqueness</t>
  </si>
  <si>
    <t>Do not duplicate</t>
  </si>
  <si>
    <t>Accuracy</t>
  </si>
  <si>
    <t>Do not allow underscore twice and spaces twice</t>
  </si>
  <si>
    <t>Do not allow underscore twice and space</t>
  </si>
  <si>
    <t>Do not allow underscore twice and space twice</t>
  </si>
  <si>
    <t>Do not allow underscore twice</t>
  </si>
  <si>
    <t>Integrity</t>
  </si>
  <si>
    <t>Allow type in list ex. GDZ, MDZ</t>
  </si>
  <si>
    <t>Allowable value only (PII/Non PII)</t>
  </si>
  <si>
    <t>Allow type in list ex.
BIGINT
STRING
INTEGER
DECIMAL
DATE
LIST
ARRAY
LONG
TIMESTAMP</t>
  </si>
  <si>
    <t>Allowable value only (Yes/No)</t>
  </si>
  <si>
    <t>Metadata Data Set</t>
  </si>
  <si>
    <t>Data Set  Update Frequency</t>
  </si>
  <si>
    <t>Do not allow spaces twice and double spaces</t>
  </si>
  <si>
    <t>Do not allow spaces twice</t>
  </si>
  <si>
    <t>Existing in list Frequency (Ex.Monthly/Daily/Yearly)</t>
  </si>
  <si>
    <t>Data set name</t>
  </si>
  <si>
    <t>Have data set in Metadata Column</t>
  </si>
  <si>
    <t>Business Metadata</t>
  </si>
  <si>
    <t>Business Definition</t>
  </si>
  <si>
    <r>
      <t xml:space="preserve">▪ There may be omissions for a List of Allowable Values of required field. If match one of the following conditions:
- Business Attribute Name contain “Flag”
- Business Definition contain “In this case, the list of allowable values </t>
    </r>
    <r>
      <rPr>
        <sz val="11"/>
        <color rgb="FFFF0000"/>
        <rFont val="Tahoma"/>
        <family val="2"/>
        <scheme val="minor"/>
      </rPr>
      <t>can be contact</t>
    </r>
    <r>
      <rPr>
        <sz val="11"/>
        <color theme="1"/>
        <rFont val="Tahoma"/>
        <family val="2"/>
        <charset val="222"/>
        <scheme val="minor"/>
      </rPr>
      <t xml:space="preserve">”
- Business Definition contain “In this case, the list of allowable values </t>
    </r>
    <r>
      <rPr>
        <sz val="11"/>
        <color rgb="FFFF0000"/>
        <rFont val="Tahoma"/>
        <family val="2"/>
        <scheme val="minor"/>
      </rPr>
      <t>can be found</t>
    </r>
    <r>
      <rPr>
        <sz val="11"/>
        <color theme="1"/>
        <rFont val="Tahoma"/>
        <family val="2"/>
        <charset val="222"/>
        <scheme val="minor"/>
      </rPr>
      <t>”
- Business Definition does not contain “list of allowable value”
▪ There cannot be omissions for a List of Allowable Values of required field. If match one of the following conditions:
- Business Attribute Name does not contain “Flag”
- Business Definition contain “list of allowable value</t>
    </r>
  </si>
  <si>
    <t>Column name</t>
  </si>
  <si>
    <t>Have column name in Metadata Column</t>
  </si>
  <si>
    <r>
      <rPr>
        <b/>
        <sz val="11"/>
        <color theme="1"/>
        <rFont val="Tahoma"/>
        <family val="2"/>
        <scheme val="minor"/>
      </rPr>
      <t xml:space="preserve">Metadata Type </t>
    </r>
    <r>
      <rPr>
        <sz val="10"/>
        <color theme="1"/>
        <rFont val="Tahoma"/>
        <family val="2"/>
        <scheme val="minor"/>
      </rPr>
      <t>(Business or Technical)</t>
    </r>
  </si>
  <si>
    <r>
      <rPr>
        <b/>
        <sz val="11"/>
        <color theme="1"/>
        <rFont val="Tahoma"/>
        <family val="2"/>
        <scheme val="minor"/>
      </rPr>
      <t xml:space="preserve">Metadata Sub-Type </t>
    </r>
    <r>
      <rPr>
        <sz val="10"/>
        <color theme="1"/>
        <rFont val="Tahoma"/>
        <family val="2"/>
        <scheme val="minor"/>
      </rPr>
      <t>(Business/Data set/Column</t>
    </r>
    <r>
      <rPr>
        <sz val="11"/>
        <color theme="1"/>
        <rFont val="Tahoma"/>
        <family val="2"/>
        <charset val="222"/>
        <scheme val="minor"/>
      </rPr>
      <t>)</t>
    </r>
  </si>
  <si>
    <t>%of Metadata Quality by field</t>
  </si>
  <si>
    <t>Key</t>
  </si>
  <si>
    <t>Order</t>
  </si>
  <si>
    <t>Business MetadataAccuracyBusiness Attribute Name</t>
  </si>
  <si>
    <t>Business MetadataAccuracyColumn Name</t>
  </si>
  <si>
    <t>Business MetadataAccuracyBusiness Definition</t>
  </si>
  <si>
    <t>Business MetadataAccuracyData Owner</t>
  </si>
  <si>
    <t>Business MetadataAccuracyBusiness Data Steward</t>
  </si>
  <si>
    <t>Business MetadataAccuracyUpdated By</t>
  </si>
  <si>
    <t>Business MetadataCompletenessBusiness Attribute Name</t>
  </si>
  <si>
    <t>Business MetadataCompletenessBusiness Definition</t>
  </si>
  <si>
    <t>Business MetadataCompletenessColumn Name</t>
  </si>
  <si>
    <t>Business MetadataCompletenessPII/ Non-PII</t>
  </si>
  <si>
    <t>Business MetadataCompletenessSample Data</t>
  </si>
  <si>
    <t>Business MetadataCompletenessBusiness Data Steward</t>
  </si>
  <si>
    <t>Business MetadataCompletenessData Owner</t>
  </si>
  <si>
    <t>Business MetadataCompletenessUpdated Date</t>
  </si>
  <si>
    <t>Business MetadataCompletenessUpdated By</t>
  </si>
  <si>
    <t>Business MetadataCompletenessList of Allowable Values</t>
  </si>
  <si>
    <t>Have column in Metadata Column</t>
  </si>
  <si>
    <t>Business MetadataConsistencyHave column in Metadata Column</t>
  </si>
  <si>
    <t>Business MetadataIntegrityPII/ Non-PII</t>
  </si>
  <si>
    <t>Business MetadataUniquenessBusiness Attribute Name</t>
  </si>
  <si>
    <t>Business MetadataUniquenessBusiness Definition</t>
  </si>
  <si>
    <t>Technical Metadata</t>
  </si>
  <si>
    <t>Metadata ColumnAccuracyColumn Name</t>
  </si>
  <si>
    <t>Metadata ColumnAccuracyData Set Name</t>
  </si>
  <si>
    <t>Metadata ColumnAccuracySchema/Database Name</t>
  </si>
  <si>
    <t>Metadata ColumnAccuracySystem/ Data Subject Area Name</t>
  </si>
  <si>
    <t>Metadata ColumnAccuracyUpdated By</t>
  </si>
  <si>
    <t>Metadata ColumnCompletenessColumn Name</t>
  </si>
  <si>
    <t>Metadata ColumnCompletenessData Set Name</t>
  </si>
  <si>
    <t>Data Zone(MDZ/GDZ)</t>
  </si>
  <si>
    <t>Metadata ColumnCompletenessData Zone (MDZ/GDZ)</t>
  </si>
  <si>
    <t>Metadata ColumnCompletenessFormat</t>
  </si>
  <si>
    <t>Metadata ColumnCompletenessNullable</t>
  </si>
  <si>
    <t>Metadata ColumnCompletenessPII/ Non-PII</t>
  </si>
  <si>
    <t>Metadata ColumnCompletenessSchema/Database Name</t>
  </si>
  <si>
    <t>Metadata ColumnCompletenessSystem/ Data Subject Area Name</t>
  </si>
  <si>
    <t>Metadata ColumnCompletenessType</t>
  </si>
  <si>
    <t>Metadata ColumnCompletenessUpdated By</t>
  </si>
  <si>
    <t>Metadata ColumnCompletenessUpdated Date</t>
  </si>
  <si>
    <t>Metadata ColumnConsistencyHave data set in Metadata Data Set</t>
  </si>
  <si>
    <t>Metadata ColumnIntegrityData Zone (MDZ/GDZ)</t>
  </si>
  <si>
    <t>Metadata ColumnIntegrityPII/ Non-PII</t>
  </si>
  <si>
    <t>Metadata ColumnIntegrityType</t>
  </si>
  <si>
    <t>Metadata ColumnIntegrityNullable</t>
  </si>
  <si>
    <t>Metadata ColumnUniquenessColumn Name</t>
  </si>
  <si>
    <t>Metadata Data SetAccuracyData Set Name</t>
  </si>
  <si>
    <t>Metadata Data SetAccuracyData Set Description</t>
  </si>
  <si>
    <t>Metadata Data SetAccuracyUpdated By</t>
  </si>
  <si>
    <t>Metadata Data SetCompletenessData Set Name</t>
  </si>
  <si>
    <t>Metadata Data SetCompletenessData Set Description</t>
  </si>
  <si>
    <t>Metadata Data SetCompletenessData Set  Update Frequency</t>
  </si>
  <si>
    <t>Metadata Data SetCompletenessUpdated Date</t>
  </si>
  <si>
    <t>Metadata Data SetCompletenessUpdated By</t>
  </si>
  <si>
    <t>Metadata Data SetConsistencyHave data set in Metadata Column</t>
  </si>
  <si>
    <t>Metadata Data SetIntegrityData Set  Update Frequency</t>
  </si>
  <si>
    <t>Metadata Data SetUniquenessData Set Name</t>
  </si>
  <si>
    <t>Metadata Data SetUniquenessData Set Description</t>
  </si>
  <si>
    <t>1 Business term : 1 Column name</t>
  </si>
  <si>
    <t>Business MetadataUniqueness1 Business term : 1 Column name</t>
  </si>
  <si>
    <r>
      <rPr>
        <b/>
        <sz val="11"/>
        <color theme="1"/>
        <rFont val="Tahoma"/>
        <family val="2"/>
        <scheme val="minor"/>
      </rPr>
      <t xml:space="preserve">Total Elememt </t>
    </r>
    <r>
      <rPr>
        <sz val="10"/>
        <color theme="1"/>
        <rFont val="Tahoma"/>
        <family val="2"/>
        <scheme val="minor"/>
      </rPr>
      <t>(by metadata sub-type)</t>
    </r>
  </si>
  <si>
    <r>
      <t xml:space="preserve">Completeness
</t>
    </r>
    <r>
      <rPr>
        <b/>
        <sz val="10"/>
        <color theme="1"/>
        <rFont val="Tahoma"/>
        <family val="2"/>
        <scheme val="minor"/>
      </rPr>
      <t>Business Attribute Name</t>
    </r>
  </si>
  <si>
    <r>
      <t xml:space="preserve">Completeness
</t>
    </r>
    <r>
      <rPr>
        <b/>
        <sz val="10"/>
        <color theme="1"/>
        <rFont val="Tahoma"/>
        <family val="2"/>
        <scheme val="minor"/>
      </rPr>
      <t>Business Definition</t>
    </r>
  </si>
  <si>
    <r>
      <t xml:space="preserve">Completeness
</t>
    </r>
    <r>
      <rPr>
        <b/>
        <sz val="10"/>
        <color theme="1"/>
        <rFont val="Tahoma"/>
        <family val="2"/>
        <scheme val="minor"/>
      </rPr>
      <t>Column Name</t>
    </r>
  </si>
  <si>
    <r>
      <t xml:space="preserve">Completeness
</t>
    </r>
    <r>
      <rPr>
        <b/>
        <sz val="10"/>
        <color theme="1"/>
        <rFont val="Tahoma"/>
        <family val="2"/>
        <scheme val="minor"/>
      </rPr>
      <t>PII/Non-PII</t>
    </r>
  </si>
  <si>
    <r>
      <t>Completeness
Check_</t>
    </r>
    <r>
      <rPr>
        <b/>
        <sz val="10"/>
        <color theme="1"/>
        <rFont val="Tahoma"/>
        <family val="2"/>
        <scheme val="minor"/>
      </rPr>
      <t>LOV</t>
    </r>
    <r>
      <rPr>
        <sz val="10"/>
        <color theme="1"/>
        <rFont val="Tahoma"/>
        <family val="2"/>
        <scheme val="minor"/>
      </rPr>
      <t>is</t>
    </r>
    <r>
      <rPr>
        <u/>
        <sz val="10"/>
        <color theme="1"/>
        <rFont val="Tahoma"/>
        <family val="2"/>
        <scheme val="minor"/>
      </rPr>
      <t>Blank</t>
    </r>
    <r>
      <rPr>
        <sz val="10"/>
        <color theme="1"/>
        <rFont val="Tahoma"/>
        <family val="2"/>
        <scheme val="minor"/>
      </rPr>
      <t xml:space="preserve">
[False]</t>
    </r>
  </si>
  <si>
    <r>
      <t>Completeness
Check_</t>
    </r>
    <r>
      <rPr>
        <b/>
        <sz val="10"/>
        <color theme="1"/>
        <rFont val="Tahoma"/>
        <family val="2"/>
        <scheme val="minor"/>
      </rPr>
      <t>LOV</t>
    </r>
    <r>
      <rPr>
        <sz val="10"/>
        <color theme="1"/>
        <rFont val="Tahoma"/>
        <family val="2"/>
        <scheme val="minor"/>
      </rPr>
      <t>NameNot*Contains Flag
[True]</t>
    </r>
  </si>
  <si>
    <r>
      <t>Completeness
Check_</t>
    </r>
    <r>
      <rPr>
        <b/>
        <sz val="10"/>
        <color theme="1"/>
        <rFont val="Tahoma"/>
        <family val="2"/>
        <scheme val="minor"/>
      </rPr>
      <t>LOV</t>
    </r>
    <r>
      <rPr>
        <sz val="10"/>
        <color theme="1"/>
        <rFont val="Tahoma"/>
        <family val="2"/>
        <scheme val="minor"/>
      </rPr>
      <t>DefinitionNot*Contains "… can be contact"
[True]</t>
    </r>
  </si>
  <si>
    <r>
      <t>Completeness
Check_</t>
    </r>
    <r>
      <rPr>
        <b/>
        <sz val="10"/>
        <color theme="1"/>
        <rFont val="Tahoma"/>
        <family val="2"/>
        <scheme val="minor"/>
      </rPr>
      <t>LOV</t>
    </r>
    <r>
      <rPr>
        <sz val="10"/>
        <color theme="1"/>
        <rFont val="Tahoma"/>
        <family val="2"/>
        <scheme val="minor"/>
      </rPr>
      <t>DefinitionNot*Contains "… can be found"
[True]</t>
    </r>
  </si>
  <si>
    <r>
      <t>Completeness
Check_</t>
    </r>
    <r>
      <rPr>
        <b/>
        <sz val="10"/>
        <color theme="1"/>
        <rFont val="Tahoma"/>
        <family val="2"/>
        <scheme val="minor"/>
      </rPr>
      <t>LOV</t>
    </r>
    <r>
      <rPr>
        <sz val="10"/>
        <color theme="1"/>
        <rFont val="Tahoma"/>
        <family val="2"/>
        <scheme val="minor"/>
      </rPr>
      <t>DefinitionNot*Contains "list of allowable value"
[True]</t>
    </r>
  </si>
  <si>
    <r>
      <t xml:space="preserve">Completeness
</t>
    </r>
    <r>
      <rPr>
        <b/>
        <sz val="10"/>
        <color theme="1"/>
        <rFont val="Tahoma"/>
        <family val="2"/>
        <scheme val="minor"/>
      </rPr>
      <t>List of Allowable Values</t>
    </r>
  </si>
  <si>
    <r>
      <t xml:space="preserve">Completeness
</t>
    </r>
    <r>
      <rPr>
        <b/>
        <sz val="10"/>
        <color theme="1"/>
        <rFont val="Tahoma"/>
        <family val="2"/>
        <scheme val="minor"/>
      </rPr>
      <t>Sample Data</t>
    </r>
  </si>
  <si>
    <r>
      <t xml:space="preserve">Completeness
</t>
    </r>
    <r>
      <rPr>
        <b/>
        <sz val="10"/>
        <color theme="1"/>
        <rFont val="Tahoma"/>
        <family val="2"/>
        <scheme val="minor"/>
      </rPr>
      <t>Business Data Steward</t>
    </r>
  </si>
  <si>
    <r>
      <t xml:space="preserve">Completeness
</t>
    </r>
    <r>
      <rPr>
        <b/>
        <sz val="10"/>
        <color theme="1"/>
        <rFont val="Tahoma"/>
        <family val="2"/>
        <scheme val="minor"/>
      </rPr>
      <t>Data Owner</t>
    </r>
  </si>
  <si>
    <r>
      <t xml:space="preserve">Completeness
</t>
    </r>
    <r>
      <rPr>
        <b/>
        <sz val="10"/>
        <color theme="1"/>
        <rFont val="Tahoma"/>
        <family val="2"/>
        <scheme val="minor"/>
      </rPr>
      <t>Updated Date</t>
    </r>
  </si>
  <si>
    <r>
      <t xml:space="preserve">Completeness
</t>
    </r>
    <r>
      <rPr>
        <b/>
        <sz val="10"/>
        <color theme="1"/>
        <rFont val="Tahoma"/>
        <family val="2"/>
        <scheme val="minor"/>
      </rPr>
      <t>Updated By</t>
    </r>
  </si>
  <si>
    <r>
      <t xml:space="preserve">Accuracy
</t>
    </r>
    <r>
      <rPr>
        <b/>
        <sz val="10"/>
        <color theme="1"/>
        <rFont val="Tahoma"/>
        <family val="2"/>
        <scheme val="minor"/>
      </rPr>
      <t>Business Attribute Name</t>
    </r>
  </si>
  <si>
    <r>
      <t xml:space="preserve">Accuracy
</t>
    </r>
    <r>
      <rPr>
        <b/>
        <sz val="10"/>
        <color theme="1"/>
        <rFont val="Tahoma"/>
        <family val="2"/>
        <scheme val="minor"/>
      </rPr>
      <t>Business Definition</t>
    </r>
  </si>
  <si>
    <r>
      <t xml:space="preserve">Accuracy
</t>
    </r>
    <r>
      <rPr>
        <b/>
        <sz val="10"/>
        <color theme="1"/>
        <rFont val="Tahoma"/>
        <family val="2"/>
        <scheme val="minor"/>
      </rPr>
      <t>Column Name</t>
    </r>
  </si>
  <si>
    <r>
      <t xml:space="preserve">Accuracy
</t>
    </r>
    <r>
      <rPr>
        <b/>
        <sz val="10"/>
        <color theme="1"/>
        <rFont val="Tahoma"/>
        <family val="2"/>
        <scheme val="minor"/>
      </rPr>
      <t>Business Data Steward</t>
    </r>
  </si>
  <si>
    <r>
      <t xml:space="preserve">Accuracy
</t>
    </r>
    <r>
      <rPr>
        <b/>
        <sz val="10"/>
        <color theme="1"/>
        <rFont val="Tahoma"/>
        <family val="2"/>
        <scheme val="minor"/>
      </rPr>
      <t>Data Owner</t>
    </r>
  </si>
  <si>
    <r>
      <t xml:space="preserve">Accuracy
</t>
    </r>
    <r>
      <rPr>
        <b/>
        <sz val="10"/>
        <color theme="1"/>
        <rFont val="Tahoma"/>
        <family val="2"/>
        <scheme val="minor"/>
      </rPr>
      <t>Updated By</t>
    </r>
  </si>
  <si>
    <r>
      <t xml:space="preserve">Integrity
</t>
    </r>
    <r>
      <rPr>
        <b/>
        <sz val="10"/>
        <color theme="1"/>
        <rFont val="Tahoma"/>
        <family val="2"/>
        <scheme val="minor"/>
      </rPr>
      <t>PII/Non-PII</t>
    </r>
  </si>
  <si>
    <r>
      <t xml:space="preserve">Uniqueness
</t>
    </r>
    <r>
      <rPr>
        <b/>
        <sz val="10"/>
        <color theme="1"/>
        <rFont val="Tahoma"/>
        <family val="2"/>
        <scheme val="minor"/>
      </rPr>
      <t>Business Attribute Name</t>
    </r>
  </si>
  <si>
    <r>
      <t xml:space="preserve">Uniqueness
</t>
    </r>
    <r>
      <rPr>
        <b/>
        <sz val="10"/>
        <color theme="1"/>
        <rFont val="Tahoma"/>
        <family val="2"/>
        <scheme val="minor"/>
      </rPr>
      <t>Check_SubBusiness Definition</t>
    </r>
  </si>
  <si>
    <r>
      <t xml:space="preserve">Uniqueness
</t>
    </r>
    <r>
      <rPr>
        <b/>
        <sz val="10"/>
        <color theme="1"/>
        <rFont val="Tahoma"/>
        <family val="2"/>
        <scheme val="minor"/>
      </rPr>
      <t>Business Definition</t>
    </r>
  </si>
  <si>
    <r>
      <t xml:space="preserve">Uniqueness
</t>
    </r>
    <r>
      <rPr>
        <b/>
        <sz val="10"/>
        <color theme="1"/>
        <rFont val="Tahoma"/>
        <family val="2"/>
        <scheme val="minor"/>
      </rPr>
      <t>1Business term: 1Column name</t>
    </r>
  </si>
  <si>
    <r>
      <t xml:space="preserve">Consistency
</t>
    </r>
    <r>
      <rPr>
        <b/>
        <sz val="10"/>
        <color theme="1"/>
        <rFont val="Tahoma"/>
        <family val="2"/>
        <scheme val="minor"/>
      </rPr>
      <t>Have column in Metadata Column</t>
    </r>
  </si>
  <si>
    <t>The passport country code represents the name of the country from which the passport was issued (only in the case of PASSPORT).
It is stored as a 2-digit or 3-digit abbreviation code
ประเทศที่ออก passport ของลูกค้า (เฉพาะกรณี PASSPORT เท่านั้น)
Sample list of allowable values include:
IN = INDIA
CN = CHINA
GB = UNITED KINGDOM
US = UNITED STATES
JP = JAPAN
Please refer to link of allowable values for complete list of allowable values.</t>
  </si>
  <si>
    <t>Nationality Code represents the nationality code of the customer. It is stored as a 2-digit or 3-digit abbreviation code depending on the system
Sample list of allowable values include:
TH = THAILAND
IN = INDIA
CN = CHINA
GB = UNITED KINGDOM
US = UNITED STATES
Please refer to link of allowable values for complete list of allowable values.</t>
  </si>
  <si>
    <r>
      <t xml:space="preserve">Completeness
</t>
    </r>
    <r>
      <rPr>
        <b/>
        <sz val="10"/>
        <color theme="1"/>
        <rFont val="Tahoma"/>
        <family val="2"/>
        <scheme val="minor"/>
      </rPr>
      <t>System/ Data Subject Area Name</t>
    </r>
  </si>
  <si>
    <r>
      <t xml:space="preserve">Completeness
</t>
    </r>
    <r>
      <rPr>
        <b/>
        <sz val="10"/>
        <color theme="1"/>
        <rFont val="Tahoma"/>
        <family val="2"/>
        <scheme val="minor"/>
      </rPr>
      <t>Schema/Database Name</t>
    </r>
  </si>
  <si>
    <r>
      <t xml:space="preserve">Completeness
</t>
    </r>
    <r>
      <rPr>
        <b/>
        <sz val="10"/>
        <color theme="1"/>
        <rFont val="Tahoma"/>
        <family val="2"/>
        <scheme val="minor"/>
      </rPr>
      <t>Data Set Name</t>
    </r>
  </si>
  <si>
    <r>
      <t xml:space="preserve">Completeness
</t>
    </r>
    <r>
      <rPr>
        <b/>
        <sz val="10"/>
        <color theme="1"/>
        <rFont val="Tahoma"/>
        <family val="2"/>
        <scheme val="minor"/>
      </rPr>
      <t>Data Zone (MDZ/GDZ)</t>
    </r>
  </si>
  <si>
    <r>
      <t xml:space="preserve">Completeness
</t>
    </r>
    <r>
      <rPr>
        <b/>
        <sz val="10"/>
        <color theme="1"/>
        <rFont val="Tahoma"/>
        <family val="2"/>
        <scheme val="minor"/>
      </rPr>
      <t>PII/ Non-PII</t>
    </r>
  </si>
  <si>
    <r>
      <t xml:space="preserve">Completeness
</t>
    </r>
    <r>
      <rPr>
        <b/>
        <sz val="10"/>
        <color theme="1"/>
        <rFont val="Tahoma"/>
        <family val="2"/>
        <scheme val="minor"/>
      </rPr>
      <t>Type</t>
    </r>
  </si>
  <si>
    <r>
      <t xml:space="preserve">Completeness
</t>
    </r>
    <r>
      <rPr>
        <b/>
        <sz val="10"/>
        <color theme="1"/>
        <rFont val="Tahoma"/>
        <family val="2"/>
        <scheme val="minor"/>
      </rPr>
      <t>Format</t>
    </r>
  </si>
  <si>
    <r>
      <t xml:space="preserve">Completeness
</t>
    </r>
    <r>
      <rPr>
        <b/>
        <sz val="10"/>
        <color theme="1"/>
        <rFont val="Tahoma"/>
        <family val="2"/>
        <scheme val="minor"/>
      </rPr>
      <t>Nullable</t>
    </r>
  </si>
  <si>
    <r>
      <t xml:space="preserve">Consistency
</t>
    </r>
    <r>
      <rPr>
        <b/>
        <sz val="10"/>
        <color theme="1"/>
        <rFont val="Tahoma"/>
        <family val="2"/>
        <scheme val="minor"/>
      </rPr>
      <t>Have data set in Metadata Data Set</t>
    </r>
  </si>
  <si>
    <r>
      <t xml:space="preserve">Uniqueness
</t>
    </r>
    <r>
      <rPr>
        <b/>
        <sz val="10"/>
        <color theme="1"/>
        <rFont val="Tahoma"/>
        <family val="2"/>
        <scheme val="minor"/>
      </rPr>
      <t>Column Name</t>
    </r>
  </si>
  <si>
    <r>
      <t xml:space="preserve">Accuracy
</t>
    </r>
    <r>
      <rPr>
        <b/>
        <sz val="10"/>
        <color theme="1"/>
        <rFont val="Tahoma"/>
        <family val="2"/>
        <scheme val="minor"/>
      </rPr>
      <t>System/ Data Subject Area Name</t>
    </r>
  </si>
  <si>
    <r>
      <t xml:space="preserve">Accuracy
</t>
    </r>
    <r>
      <rPr>
        <b/>
        <sz val="10"/>
        <color theme="1"/>
        <rFont val="Tahoma"/>
        <family val="2"/>
        <scheme val="minor"/>
      </rPr>
      <t>Schema/Database Name</t>
    </r>
  </si>
  <si>
    <r>
      <t xml:space="preserve">Accuracy
</t>
    </r>
    <r>
      <rPr>
        <b/>
        <sz val="10"/>
        <color theme="1"/>
        <rFont val="Tahoma"/>
        <family val="2"/>
        <scheme val="minor"/>
      </rPr>
      <t>Data Set Name</t>
    </r>
  </si>
  <si>
    <r>
      <t xml:space="preserve">Integrity
</t>
    </r>
    <r>
      <rPr>
        <b/>
        <sz val="10"/>
        <color theme="1"/>
        <rFont val="Tahoma"/>
        <family val="2"/>
        <scheme val="minor"/>
      </rPr>
      <t>Data Zone (MDZ/GDZ)</t>
    </r>
  </si>
  <si>
    <r>
      <t xml:space="preserve">Integrity
</t>
    </r>
    <r>
      <rPr>
        <b/>
        <sz val="10"/>
        <color theme="1"/>
        <rFont val="Tahoma"/>
        <family val="2"/>
        <scheme val="minor"/>
      </rPr>
      <t>PII/ Non-PII</t>
    </r>
  </si>
  <si>
    <t>Check_SplitType</t>
  </si>
  <si>
    <r>
      <t xml:space="preserve">Integrity
</t>
    </r>
    <r>
      <rPr>
        <b/>
        <sz val="10"/>
        <color theme="1"/>
        <rFont val="Tahoma"/>
        <family val="2"/>
        <scheme val="minor"/>
      </rPr>
      <t>Type</t>
    </r>
  </si>
  <si>
    <r>
      <t xml:space="preserve">Integrity
</t>
    </r>
    <r>
      <rPr>
        <b/>
        <sz val="10"/>
        <color theme="1"/>
        <rFont val="Tahoma"/>
        <family val="2"/>
        <scheme val="minor"/>
      </rPr>
      <t>Nullable</t>
    </r>
  </si>
  <si>
    <t>decimal</t>
  </si>
  <si>
    <t>Frequency</t>
  </si>
  <si>
    <t>Monthly</t>
  </si>
  <si>
    <t>Weekly</t>
  </si>
  <si>
    <t>Yearly</t>
  </si>
  <si>
    <t>CHAR</t>
  </si>
  <si>
    <t>VARCHAR</t>
  </si>
  <si>
    <t>BINARY</t>
  </si>
  <si>
    <t>VARBINARY</t>
  </si>
  <si>
    <t>TINYBLOB</t>
  </si>
  <si>
    <t>TINYTEXT</t>
  </si>
  <si>
    <t>TEXT</t>
  </si>
  <si>
    <t>BLOB</t>
  </si>
  <si>
    <t>MEDIUMTEXT</t>
  </si>
  <si>
    <t>MEDIUMBLOB</t>
  </si>
  <si>
    <t>LONGTEXT</t>
  </si>
  <si>
    <t>LONGBLOB</t>
  </si>
  <si>
    <t>ENUM</t>
  </si>
  <si>
    <t>SET</t>
  </si>
  <si>
    <t>Data type</t>
  </si>
  <si>
    <t>BIT</t>
  </si>
  <si>
    <t>TINYINT</t>
  </si>
  <si>
    <t>BOOL</t>
  </si>
  <si>
    <t>BOOLEAN</t>
  </si>
  <si>
    <t>SMALLINT</t>
  </si>
  <si>
    <t>MEDIUMINT</t>
  </si>
  <si>
    <t>INT</t>
  </si>
  <si>
    <t>INTEGER</t>
  </si>
  <si>
    <t>BIGINT</t>
  </si>
  <si>
    <t>FLOAT</t>
  </si>
  <si>
    <t>DOUBLE</t>
  </si>
  <si>
    <t>DOUBLE PRECISION</t>
  </si>
  <si>
    <t>DECIMAL</t>
  </si>
  <si>
    <t>DEC</t>
  </si>
  <si>
    <t>Date and Time Data Types</t>
  </si>
  <si>
    <t>DATE</t>
  </si>
  <si>
    <t>DATETIME</t>
  </si>
  <si>
    <t>TIMESTAMP</t>
  </si>
  <si>
    <t>TIME</t>
  </si>
  <si>
    <t>YEAR</t>
  </si>
  <si>
    <t>ADVERTISEMENT</t>
  </si>
  <si>
    <t>char</t>
  </si>
  <si>
    <t>varchar</t>
  </si>
  <si>
    <t>text</t>
  </si>
  <si>
    <t>nchar</t>
  </si>
  <si>
    <t>nvarchar</t>
  </si>
  <si>
    <t>ntext</t>
  </si>
  <si>
    <t>binary</t>
  </si>
  <si>
    <t>varbinary</t>
  </si>
  <si>
    <t>image</t>
  </si>
  <si>
    <t>bit</t>
  </si>
  <si>
    <t>tinyint</t>
  </si>
  <si>
    <t>smallint</t>
  </si>
  <si>
    <t>int</t>
  </si>
  <si>
    <t>bigint</t>
  </si>
  <si>
    <t>numeric</t>
  </si>
  <si>
    <t>smallmoney</t>
  </si>
  <si>
    <t>money</t>
  </si>
  <si>
    <t>float</t>
  </si>
  <si>
    <t>real</t>
  </si>
  <si>
    <t>datetime</t>
  </si>
  <si>
    <t>datetime2</t>
  </si>
  <si>
    <t>smalldatetime</t>
  </si>
  <si>
    <t>date</t>
  </si>
  <si>
    <t>time</t>
  </si>
  <si>
    <t>datetimeoffset</t>
  </si>
  <si>
    <t>timestamp</t>
  </si>
  <si>
    <t>Other Data Types</t>
  </si>
  <si>
    <t>sql_variant</t>
  </si>
  <si>
    <t>uniqueidentifier</t>
  </si>
  <si>
    <t>xml</t>
  </si>
  <si>
    <t>cursor</t>
  </si>
  <si>
    <t>table</t>
  </si>
  <si>
    <t>Text</t>
  </si>
  <si>
    <t>Memo</t>
  </si>
  <si>
    <t>Byte</t>
  </si>
  <si>
    <t>Integer</t>
  </si>
  <si>
    <t>Long</t>
  </si>
  <si>
    <t>Single</t>
  </si>
  <si>
    <t>Double</t>
  </si>
  <si>
    <t>Currency</t>
  </si>
  <si>
    <t>AutoNumber</t>
  </si>
  <si>
    <t>Date/Time</t>
  </si>
  <si>
    <t>Ole Object</t>
  </si>
  <si>
    <t>Hyperlink</t>
  </si>
  <si>
    <t>Lookup Wizard</t>
  </si>
  <si>
    <t>String</t>
  </si>
  <si>
    <t>list</t>
  </si>
  <si>
    <t>array</t>
  </si>
  <si>
    <t>Completeness
Data Set Name</t>
  </si>
  <si>
    <t>Completenes
Data Set Description</t>
  </si>
  <si>
    <t>Completeness
Data Set  Update Frequency</t>
  </si>
  <si>
    <t>Completeness
Updated Date</t>
  </si>
  <si>
    <t>Completeness
Updated By</t>
  </si>
  <si>
    <t>Accuracy
Data Set Name</t>
  </si>
  <si>
    <t>Accuracy
Data Set Description</t>
  </si>
  <si>
    <t>Accuracy
Updated By</t>
  </si>
  <si>
    <r>
      <t xml:space="preserve">Uniqueness
</t>
    </r>
    <r>
      <rPr>
        <b/>
        <sz val="10"/>
        <color theme="1"/>
        <rFont val="Tahoma"/>
        <family val="2"/>
        <scheme val="minor"/>
      </rPr>
      <t>Data Set Name</t>
    </r>
  </si>
  <si>
    <r>
      <t xml:space="preserve">Uniqueness
</t>
    </r>
    <r>
      <rPr>
        <b/>
        <sz val="10"/>
        <color theme="1"/>
        <rFont val="Tahoma"/>
        <family val="2"/>
        <scheme val="minor"/>
      </rPr>
      <t>Check_Uniqueness|Data Set Description(len250)</t>
    </r>
  </si>
  <si>
    <r>
      <t xml:space="preserve">Uniqueness
</t>
    </r>
    <r>
      <rPr>
        <b/>
        <sz val="10"/>
        <color theme="1"/>
        <rFont val="Tahoma"/>
        <family val="2"/>
        <scheme val="minor"/>
      </rPr>
      <t>Data Set Description</t>
    </r>
  </si>
  <si>
    <t>Consistency|Have data set in Metadata Column</t>
  </si>
  <si>
    <t>Integrity|Data Set  Update Frequency</t>
  </si>
  <si>
    <t>Change Reference</t>
  </si>
  <si>
    <t>Update Template for support many project</t>
  </si>
  <si>
    <t>Metadata Quality Metric
Calculate Template</t>
  </si>
  <si>
    <t>Template Version 1</t>
  </si>
  <si>
    <t>Project1</t>
  </si>
  <si>
    <t>Project2</t>
  </si>
  <si>
    <t>Project3</t>
  </si>
  <si>
    <t>…</t>
  </si>
  <si>
    <t>y</t>
  </si>
  <si>
    <t>Data set Metadata</t>
  </si>
  <si>
    <t>Column Metadata</t>
  </si>
  <si>
    <t>Template Version 2</t>
  </si>
  <si>
    <t>User can change path file in 1 position.</t>
  </si>
  <si>
    <t>Revise formula each condition</t>
  </si>
  <si>
    <t>In this file user can investigate issue from each tab sheet which calculate</t>
  </si>
  <si>
    <t>Total of element. We calculate by power query</t>
  </si>
  <si>
    <t>Update template V2.00.00</t>
  </si>
  <si>
    <t>Remove condition for column name. it unnescessary to check in business term because all column unuse in business term</t>
  </si>
  <si>
    <t>Remove file about summary result because Version 2 can support all in one</t>
  </si>
  <si>
    <t>Revise Step 3 : Setting source file for calculate metadata quality
and remove step 4 because version 1 have summary file but this version can summary result.</t>
  </si>
  <si>
    <t>adjust how to import file to power bi by put the file on folder and adjust instruction for user on Tab "2 How to display on PBI"</t>
  </si>
  <si>
    <t>account profile</t>
  </si>
  <si>
    <t>all_accounts</t>
  </si>
  <si>
    <t>card_id</t>
  </si>
  <si>
    <t>character</t>
  </si>
  <si>
    <t>account</t>
  </si>
  <si>
    <t>account_customer_view</t>
  </si>
  <si>
    <t>open_date</t>
  </si>
  <si>
    <t>close_date</t>
  </si>
  <si>
    <t>is_equity</t>
  </si>
  <si>
    <t>is_fund</t>
  </si>
  <si>
    <t>is_bond</t>
  </si>
  <si>
    <t>is_offshore</t>
  </si>
  <si>
    <t>is_structure_note</t>
  </si>
  <si>
    <t>is_tfex</t>
  </si>
  <si>
    <t>account_type</t>
  </si>
  <si>
    <t>line_available</t>
  </si>
  <si>
    <t>cash_balance</t>
  </si>
  <si>
    <t>approved_credit_limit</t>
  </si>
  <si>
    <t>stock marketing</t>
  </si>
  <si>
    <t>stock_offshore_eln_marketing_employee_code</t>
  </si>
  <si>
    <t>stock_offshore_eln_marketing_name_th</t>
  </si>
  <si>
    <t>stock_offshore_eln_marketing_name_en</t>
  </si>
  <si>
    <t>stock_offshore_eln_marketing_team_id</t>
  </si>
  <si>
    <t>stock_offshore_eln_marketing_division</t>
  </si>
  <si>
    <t>fund marketing</t>
  </si>
  <si>
    <t>fund_marketing_employee_code</t>
  </si>
  <si>
    <t>fund_marketing_name_th</t>
  </si>
  <si>
    <t>fund_marketing_name_en</t>
  </si>
  <si>
    <t>fund_marketing_team_id</t>
  </si>
  <si>
    <t>fund_marketing_division</t>
  </si>
  <si>
    <t>bond marketing</t>
  </si>
  <si>
    <t>bond_marketing_employee_code</t>
  </si>
  <si>
    <t>bond_marketing_name_th</t>
  </si>
  <si>
    <t>bond_marketing_name_en</t>
  </si>
  <si>
    <t>bond_marketing_team_id</t>
  </si>
  <si>
    <t>bond_marketing_division</t>
  </si>
  <si>
    <t>tfex marketing</t>
  </si>
  <si>
    <t>tfex_marketing_employee_code</t>
  </si>
  <si>
    <t>tfex_marketing_name_th</t>
  </si>
  <si>
    <t>tfex_marketing_name_en</t>
  </si>
  <si>
    <t>tfex_marketing_team_id</t>
  </si>
  <si>
    <t>tfex_marketing_division</t>
  </si>
  <si>
    <t>bankacct_customer_receive</t>
  </si>
  <si>
    <t>bankacct_customer_pay</t>
  </si>
  <si>
    <t>The data lake update cycle is every end of the month.</t>
  </si>
  <si>
    <t>It is a table showing the collection of customer account information. Including officials that are taken care of in each product</t>
  </si>
  <si>
    <t>Tossawat.P</t>
  </si>
  <si>
    <t>Customer Identification Number</t>
  </si>
  <si>
    <t>Customer Identification Number, abbreviated to 'Customer ID', is the identifier of customers. The Customer ID can be Thai National ID, Passport, Alien ID, or Registration ID depending on type of customers (Refer to Customer Type Code).
Note:
1. Thai nationals are able to use Thai National ID or Passport as a supporting document. In the event of Thai nationals using passport (e.g. investment) as a supporting document and to differentiate them from Foreign nationals, please refer to attribute 'Customer Nationality Code'.
2. The corporations/organizations (non-Individual) use 'registration of juristic person' or 'memorandum of association' as Business Registration ID, Store Registration ID, Other Registration ID, Swift ID, or Tax ID.
3. The Aliens use passport or Alien ID as a supporting document.
Format of Alien ID
length &gt;= 2 and contain only Thai alphabet, Number, Dash, Slash, and Period.
13 Digits value, begin with 0, 6, 7, or 8
Format of Passport ID
Contain only EN Capital, Number, and Dash, length &gt;= 4 and first 2 characters are English capital which is nationality of customer.
4. Other Types of IDs may include Temporary Business ID (Corporations only), Staff ID, and Temporary Persons ID (Individuals only).</t>
  </si>
  <si>
    <t>10553xxxxx43
C4Kxxxx4N
310200xxxxx92
348090xxxxx32
A41xxxx66</t>
  </si>
  <si>
    <t>account information</t>
  </si>
  <si>
    <t>Account Number</t>
  </si>
  <si>
    <t>Account number refers to the account number of investment.The account can be for any products. (e.g. deposit, loan, investment etc.).</t>
  </si>
  <si>
    <t>11xxx2
1200xxx0
12xxx1
12xxx0
1300xxx9</t>
  </si>
  <si>
    <t>Account customer view number</t>
  </si>
  <si>
    <t>Investment Account Open Date</t>
  </si>
  <si>
    <t>Investment Account Open Date represents the date the customer's investment account is opened and registered into the system.
Note:
The format is represented as 'YYYY-MM-DD.</t>
  </si>
  <si>
    <t>26/02/2013
2011-08-04</t>
  </si>
  <si>
    <t>Investment Account Close Date</t>
  </si>
  <si>
    <t>A date when the customer's account status is set to 'Closed' by the system. In the case of delay in the process of closing the account or a target close date, the attribute will not contain any values.
Note:
1. When there is no target close date, the data appears to be "9999-12-31". (Year/Month/Date)
Note:
The format is represented as 'YYYY-MM-DD.</t>
  </si>
  <si>
    <t>31/12/9999
2017-01-27</t>
  </si>
  <si>
    <t>Equity Account Code</t>
  </si>
  <si>
    <t>Code numberic refers to the account of Equity product.</t>
  </si>
  <si>
    <t>1
0</t>
  </si>
  <si>
    <t>Fund Account Code</t>
  </si>
  <si>
    <t>Code numberic refers to the account of Fund product.</t>
  </si>
  <si>
    <t>Bond Account Code</t>
  </si>
  <si>
    <t>Code numberic refers to the account of Bond product.</t>
  </si>
  <si>
    <t>Offshore Account Code</t>
  </si>
  <si>
    <t>Code numberic refers to the account of Offshore product.</t>
  </si>
  <si>
    <t>Structured Notes Account Code</t>
  </si>
  <si>
    <t>Code numberic refers to the account of Structured Notes product.</t>
  </si>
  <si>
    <t>Thailand Futures Exchange Account Code</t>
  </si>
  <si>
    <t>Code numberic refers to the account of Thailand Futures Exchange product.</t>
  </si>
  <si>
    <t>Account Type</t>
  </si>
  <si>
    <t>An account type is assigned to an organization to indicate what type of investment account it is related to.</t>
  </si>
  <si>
    <t>CASH_ACCOUNT
CASH_BALANCE</t>
  </si>
  <si>
    <t>Line Available Amount</t>
  </si>
  <si>
    <t>Line Available is the actual buying amount at that time. or the actual value of the remaining amount Which is update in real-time, that is, when an investor sends an order, this amount will be changed immediately, even if the order has not yet been matched. And if the order is canceled The money will be returned immediately.</t>
  </si>
  <si>
    <t xml:space="preserve">4500000000.00
213.28
740.65
0.0
</t>
  </si>
  <si>
    <t>Cash Balance Amount</t>
  </si>
  <si>
    <t>Cash Balance is the cash value that can be withdrawn at that time. They are generally not updated in real-time and are slow to change due to the settlement process.</t>
  </si>
  <si>
    <t xml:space="preserve">0
213.28
740.65
</t>
  </si>
  <si>
    <t>Approved Credit Limit Amount</t>
  </si>
  <si>
    <t>Approved Credit Limit Amount refers to the limit amount of trade products that has been approved for each particular customer.</t>
  </si>
  <si>
    <t>Offshore Equity-Linked Note Marketing Employee Code</t>
  </si>
  <si>
    <t>Marketing employee code of Offshore Equity-Linked Note Product.</t>
  </si>
  <si>
    <t xml:space="preserve">s61xxx
s44x
Null
</t>
  </si>
  <si>
    <t>Offshore Equity-Linked Note Marketing Employee Name (TH)</t>
  </si>
  <si>
    <t>Marketing employee thai name of Offshore Equity-Linked Note Product.</t>
  </si>
  <si>
    <t>ธวัชชัย เอื้อสุขเจริญชัย
จักรพงษ์ มงคล
ภาณุวัฒน์ ปฎิพัทธ์วุฒิกุล
สุนิสา อินทร์นาค
Null</t>
  </si>
  <si>
    <t>Offshore Equity-Linked Note Marketing Employee Name (EN)</t>
  </si>
  <si>
    <t>Marketing employee english name of Offshore Equity-Linked Note Product.</t>
  </si>
  <si>
    <t>Thawatchai Ueasukcharoenchai
Chakkapong Mongkhonkhunakon
Panuwat Padipatvuthikul
Sunisa Innark
Null</t>
  </si>
  <si>
    <t>Offshore Equity-Linked Note Marketing Team Identifier Code</t>
  </si>
  <si>
    <t>Marketing identifier code of Offshore Equity-Linked Note Product.</t>
  </si>
  <si>
    <t>10112
20108
70000
20108
236111</t>
  </si>
  <si>
    <t>Offshore Equity-Linked Note Marketing Division Name</t>
  </si>
  <si>
    <t>Marketing division name of Offshore Equity-Linked Note Product.</t>
  </si>
  <si>
    <t>INVX-E-business 2
Private Banking 2 Team 1
การตลาดสำนักงานใหญ่ - ทีม 1
INVX-Team A2
INVX-Team A3</t>
  </si>
  <si>
    <t>Fund Marketing Employee Code</t>
  </si>
  <si>
    <t>Marketing employee code of Fund Product.</t>
  </si>
  <si>
    <t>s44xxx
s66xxx
Null</t>
  </si>
  <si>
    <t>Fund Marketing Employee Name (TH)</t>
  </si>
  <si>
    <t>Marketing employee thai name of Fund Product.</t>
  </si>
  <si>
    <t>พชรพงศ์ ชิ้นเกตุ
ตรีรัตน์ ฉวานนท์
อรวรรณ ตันติโกวิทย์
เบญจวรรณ ตั้งมั่นยุติธรรม
Null</t>
  </si>
  <si>
    <t>Fund Marketing Employee Name (EN)</t>
  </si>
  <si>
    <t>Marketing employee english name of Fund Product.</t>
  </si>
  <si>
    <t>Benjawan Tungmanyuttitham
Visanuporn Trongkarndee
Peeraya Poksatian
Wirapan Shantanitimongkon
Null</t>
  </si>
  <si>
    <t>Fund Marketing Team Identifier Code</t>
  </si>
  <si>
    <t>Marketing identifier code of Fund Product.</t>
  </si>
  <si>
    <t>020168
020183
070163
020108
Null</t>
  </si>
  <si>
    <t>Fund Marketing Division Name</t>
  </si>
  <si>
    <t>Marketing division name of Fund Product.</t>
  </si>
  <si>
    <t>INVX-Team A2
Private Banking 2 Team 1
INVX-Wealth Dealer1
INVX-E-business 1
Independent Financial Advisor Department</t>
  </si>
  <si>
    <t>Bond Marketing Employee Code</t>
  </si>
  <si>
    <t>Marketing employee code of Bond Product.</t>
  </si>
  <si>
    <t>s27049
Null</t>
  </si>
  <si>
    <t>Bond Marketing Employee Name (TH)</t>
  </si>
  <si>
    <t>Marketing employee thai name of Bond Product.</t>
  </si>
  <si>
    <t>ปิยวรรณ วสีไพสิฐ
Null</t>
  </si>
  <si>
    <t>Bond Marketing Employee Name (EN)</t>
  </si>
  <si>
    <t>Marketing employee english name of Bond Product.</t>
  </si>
  <si>
    <t>Piyawan Wasripaisith
Null</t>
  </si>
  <si>
    <t>Bond MMarketing Team Identifier Code</t>
  </si>
  <si>
    <t>Marketing identifier code of Bond Product.</t>
  </si>
  <si>
    <t>020191
Null</t>
  </si>
  <si>
    <t>Bond Marketing Division Name</t>
  </si>
  <si>
    <t>Marketing division name of Bond Product.</t>
  </si>
  <si>
    <t>Product Specialist
Null</t>
  </si>
  <si>
    <t>Thailand Futures Exchange Marketing Employee Code</t>
  </si>
  <si>
    <t>Marketing employee code of Thailand Futures Exchange Product.</t>
  </si>
  <si>
    <t>s92xxx	
s87xxx
Null</t>
  </si>
  <si>
    <t>Thailand Futures Exchange Marketing Employee Name (TH)</t>
  </si>
  <si>
    <t>Marketing employee thai name of Thailand Futures Exchange Product.</t>
  </si>
  <si>
    <t>ธนายุส จิตรวงษ์ตระกูล
มารินา อ้นทอง
ประดิษฐ์ ภาณุพงศ์ประดิษฐ์
Null</t>
  </si>
  <si>
    <t>Thailand Futures Exchange Marketing Employee Name (EN)</t>
  </si>
  <si>
    <t>Marketing employee english name of Thailand Futures Exchange Product.</t>
  </si>
  <si>
    <t>Chakkapong Mongkhonkhunakon
Suppharat Thanyatanaporn
Benjawan Tungmanyuttitham
Null</t>
  </si>
  <si>
    <t>Thailand Futures Exchange Marketing Team Identifier Code</t>
  </si>
  <si>
    <t>Marketing identifier code of Thailand Futures Exchange Product.</t>
  </si>
  <si>
    <t>020108
070161
070000
236111
236113</t>
  </si>
  <si>
    <t>Thailand Futures Exchange Marketing Division Name</t>
  </si>
  <si>
    <t>Marketing division name of Thailand Futures Exchange Product.</t>
  </si>
  <si>
    <t>Bank Account Receive Number</t>
  </si>
  <si>
    <t>Account number for receive of investment.</t>
  </si>
  <si>
    <t>8172xxxxx1
382xxxxx4
7612xxxxx3
4240xxxxx9</t>
  </si>
  <si>
    <t>Bank Account Pay Number</t>
  </si>
  <si>
    <t>Account number for pay of investment.</t>
  </si>
  <si>
    <t>8172756991
4240736619
0492842458
0602333338
0242881872</t>
  </si>
  <si>
    <t>scbs_center_cq_cash_balance</t>
  </si>
  <si>
    <t>data_date</t>
  </si>
  <si>
    <t>sub_account</t>
  </si>
  <si>
    <t>currency</t>
  </si>
  <si>
    <t>b2b_code</t>
  </si>
  <si>
    <t>amt_available</t>
  </si>
  <si>
    <t>amt_balance</t>
  </si>
  <si>
    <t>create_datetime</t>
  </si>
  <si>
    <t>create_by</t>
  </si>
  <si>
    <t>Data Lake Load Date/Time</t>
  </si>
  <si>
    <t>A date and time on which the data was ingested into the Data Lake.
Note:
The format is represented as 'YYYY-MM-DD hh:mm:ss'.</t>
  </si>
  <si>
    <t>9/6/2567</t>
  </si>
  <si>
    <t>144xxx6
144xxx4
144xxx2
144xxx6
144xxx8</t>
  </si>
  <si>
    <t>Sub Account Number</t>
  </si>
  <si>
    <t>Sub Account number refers to the account number of investment.The account can be for any products. (e.g. deposit, loan, investment etc.).</t>
  </si>
  <si>
    <t>center_cq_cash_balance</t>
  </si>
  <si>
    <t>Currency Code</t>
  </si>
  <si>
    <t>Currency Code comprises of a 3-digit code number assigned to each country's currency specified by the International Organization for Standardization (ISO). The three-digit numeric code is used to represent countries, dependent territories and special areas of geographical interest.</t>
  </si>
  <si>
    <t>VND
MYR
USD
SGD
CAD</t>
  </si>
  <si>
    <t>B2B Code</t>
  </si>
  <si>
    <t>โบร์กเกอร์ Market Maker</t>
  </si>
  <si>
    <t>GTN
PSPL
BFLD
SAXO
ECLR</t>
  </si>
  <si>
    <t>Available Amount</t>
  </si>
  <si>
    <t>878.6
836.29
1789.71
57.99
84.74</t>
  </si>
  <si>
    <t>Balance Amount</t>
  </si>
  <si>
    <t>Data Lake Create Date/Time</t>
  </si>
  <si>
    <t>The data date on which the data has been processed and create on the Data Lake.
Note:
The format is represented as 'YYYY-MM-DD hh:mm:ss'.</t>
  </si>
  <si>
    <t>2024-06-10 17:32:01.160
2024-06-10 17:32:01.823
2024-06-10 17:32:00.910
2024-06-10 17:32:01.603
2024-06-10 17:32:01.367</t>
  </si>
  <si>
    <t>Data Create By</t>
  </si>
  <si>
    <t>Identification of the owner processed and create data to the Data Lake.</t>
  </si>
  <si>
    <t>dailyImpCQCashBalanceStep</t>
  </si>
  <si>
    <t>N/A</t>
  </si>
  <si>
    <t>fund_portfolio</t>
  </si>
  <si>
    <t>Collect customer fund product information and create individual portfolios.</t>
  </si>
  <si>
    <t>fund_transactions</t>
  </si>
  <si>
    <t>Mutual fund investment transaction data storage</t>
  </si>
  <si>
    <t>run_date</t>
  </si>
  <si>
    <t>customer_number</t>
  </si>
  <si>
    <t>account_id</t>
  </si>
  <si>
    <t>unit_holder_id</t>
  </si>
  <si>
    <t>amc_code</t>
  </si>
  <si>
    <t>fund_code</t>
  </si>
  <si>
    <t>available_unit_balance</t>
  </si>
  <si>
    <t>available_amount</t>
  </si>
  <si>
    <t>average_cost</t>
  </si>
  <si>
    <t>nav</t>
  </si>
  <si>
    <t>nav_date</t>
  </si>
  <si>
    <t>unrealize_gl</t>
  </si>
  <si>
    <t>transaction_id</t>
  </si>
  <si>
    <t>sa_order_ref_no</t>
  </si>
  <si>
    <t>transaction_date</t>
  </si>
  <si>
    <t>transaction_time</t>
  </si>
  <si>
    <t>transaction_code</t>
  </si>
  <si>
    <t>override_risk_profile_flag</t>
  </si>
  <si>
    <t>override_fx_risk_flag</t>
  </si>
  <si>
    <t>redemption_type</t>
  </si>
  <si>
    <t>amount</t>
  </si>
  <si>
    <t>unit</t>
  </si>
  <si>
    <t>effective_date</t>
  </si>
  <si>
    <t>counter_fund_code</t>
  </si>
  <si>
    <t>payment_type</t>
  </si>
  <si>
    <t>bank_code</t>
  </si>
  <si>
    <t>bank_account_cc_no</t>
  </si>
  <si>
    <t>cheque_no</t>
  </si>
  <si>
    <t>cheque_date</t>
  </si>
  <si>
    <t>ic_license</t>
  </si>
  <si>
    <t>employee_code</t>
  </si>
  <si>
    <t>division</t>
  </si>
  <si>
    <t>marketing_remark</t>
  </si>
  <si>
    <t>branch_no</t>
  </si>
  <si>
    <t>channel</t>
  </si>
  <si>
    <t>channel_derived</t>
  </si>
  <si>
    <t>force_entry</t>
  </si>
  <si>
    <t>ltf_condition</t>
  </si>
  <si>
    <t>reason_to_sell</t>
  </si>
  <si>
    <t>rmf_capital_gain</t>
  </si>
  <si>
    <t>rmf_capital_amount</t>
  </si>
  <si>
    <t>auto_redeem_fund_code</t>
  </si>
  <si>
    <t>status</t>
  </si>
  <si>
    <t>amc_order_ref_no</t>
  </si>
  <si>
    <t>allotment_date</t>
  </si>
  <si>
    <t>allotted_nav</t>
  </si>
  <si>
    <t>allotted_amount</t>
  </si>
  <si>
    <t>allotted_unit</t>
  </si>
  <si>
    <t>fee</t>
  </si>
  <si>
    <t>withholding_tax</t>
  </si>
  <si>
    <t>vat</t>
  </si>
  <si>
    <t>brokerage_fee</t>
  </si>
  <si>
    <t>wth_tax_for_ltf_rmf</t>
  </si>
  <si>
    <t>amc_pay_date</t>
  </si>
  <si>
    <t>registrar_transaction_flag</t>
  </si>
  <si>
    <t>sell_all_unit_flag</t>
  </si>
  <si>
    <t>settlement_bank_code</t>
  </si>
  <si>
    <t>settlement_bank_account</t>
  </si>
  <si>
    <t>reject_reason</t>
  </si>
  <si>
    <t>chq_branch</t>
  </si>
  <si>
    <t>tax_invoice_no</t>
  </si>
  <si>
    <t>amc_related_ord_ref</t>
  </si>
  <si>
    <t>ic_code</t>
  </si>
  <si>
    <t>brokerage_fee_vat</t>
  </si>
  <si>
    <t>approval_code</t>
  </si>
  <si>
    <t>collateral_account</t>
  </si>
  <si>
    <t>credit_card_issuer</t>
  </si>
  <si>
    <t>fund_type</t>
  </si>
  <si>
    <t>owner_ic_license_on_transaction_date</t>
  </si>
  <si>
    <t>owner_ic_license_on_effective_date</t>
  </si>
  <si>
    <t>owner_ic_license_on_run_date</t>
  </si>
  <si>
    <t>As of date</t>
  </si>
  <si>
    <t>Displays the date the source data entered the archive.</t>
  </si>
  <si>
    <t>Customer Number</t>
  </si>
  <si>
    <t>3100400152332
3100200845342
1100400320123
3229800019912
1739900237988</t>
  </si>
  <si>
    <t>Account Identifier</t>
  </si>
  <si>
    <t>Account number refers to the account number of Title loan account or revolving credit account.</t>
  </si>
  <si>
    <t>81001760
81002253	
81004393
81004606
81004724</t>
  </si>
  <si>
    <t>Unitholder Identifier</t>
  </si>
  <si>
    <t>Unitholder ID will show information separated by the mutual fund company in which the investor has invested. You can view information on the website and application page.</t>
  </si>
  <si>
    <t>023000000366
7640000670
7640005406
0370010000380
000003985290</t>
  </si>
  <si>
    <t>Asset Management Companies Code</t>
  </si>
  <si>
    <t>Company list Asset Management, or AMC, is a company that invests in mutual funds on behalf of its clients. This capital is used to fund different investments across different asset classes Asset Class An asset class is a group of similar investment vehicles. Different classes or types of investment assets, such as fixed income investments, are grouped together with similar financial structures. They generally trade on the same financial markets and are subject to the same rules and regulations. Asset management companies are often referred to as money managers or money management companies as well</t>
  </si>
  <si>
    <t>ASSETFUND
BCAP
SCBAM
TISCOASSET
KSAM</t>
  </si>
  <si>
    <t>Fund Code</t>
  </si>
  <si>
    <t>All fund product codes under the company INVX manages, including products under other mutual fund companies.</t>
  </si>
  <si>
    <t>KFMTFI
TMBGQGRMF
SCBRM1-51
TMBAGLF
ASPGIPLUS-R</t>
  </si>
  <si>
    <t>Available Unit Balance</t>
  </si>
  <si>
    <t xml:space="preserve">
Number of investment units remaining of the customer</t>
  </si>
  <si>
    <t>1383.4779
20.3162
24792.093
1670.1308
7805.9442</t>
  </si>
  <si>
    <t>Fund value 
Calculated from the number of units remaining x Net Asset Value</t>
  </si>
  <si>
    <t>13025246.74
103491.48
48142.58
553131.76
0.24</t>
  </si>
  <si>
    <t>Average Cost</t>
  </si>
  <si>
    <t>Average customer cost of remaining investment units
Calculated using the FIFO principle from the total share value divided by the total number of shares</t>
  </si>
  <si>
    <t>10.2361
12.8215
11.0039
10.8203
12.5052</t>
  </si>
  <si>
    <t>NET Asset Value</t>
  </si>
  <si>
    <t>net assets or the total investment value and benefits received by the mutual fund Subtract from expenses and various liabilities per 1 investment unit</t>
  </si>
  <si>
    <t>16.4332
12.7165
6.0962
6.0294
14.7642</t>
  </si>
  <si>
    <t>NET Asset Value Date</t>
  </si>
  <si>
    <t>Date of calculation of net asset value</t>
  </si>
  <si>
    <t>2024-02-29
2024-03-27
2023-04-20
2024-03-31
2024-03-26</t>
  </si>
  <si>
    <t>Unrealized Gain / Loss amount</t>
  </si>
  <si>
    <t>Profit/Loss that have not yet been realized
Calculated from (Net Asset Value - Average Cost) x Available Unit</t>
  </si>
  <si>
    <t>25.327679
-2020.866467
57344.046435
10.098284
48359.46598</t>
  </si>
  <si>
    <t>Run Date</t>
  </si>
  <si>
    <t>Data update date</t>
  </si>
  <si>
    <t>Transaction Identifier</t>
  </si>
  <si>
    <t>Mutual fund customer transaction number</t>
  </si>
  <si>
    <t>1082404190000027
1082404190002551
1082404190011241
1082404200001911
1082404220005641</t>
  </si>
  <si>
    <t>FundConnext Reference Number</t>
  </si>
  <si>
    <t>Reference No. that the INVX system sends orders to FundConnext</t>
  </si>
  <si>
    <t xml:space="preserve">0801WA20240418170412-A12660735
EI-EA_c4eec6c05d5442b4872e2d50
EIUSR_e526ff3221cc45f18d8f6c07
0807MC20240419192754-B12666647
EIUSR_eb5c7c98100647a58db6f98b
</t>
  </si>
  <si>
    <t>Transaction Date</t>
  </si>
  <si>
    <t>Date the customer made the transaction</t>
  </si>
  <si>
    <t>2024-02-20
2024-04-02
2024-04-14
2024-04-13
2024-04-12</t>
  </si>
  <si>
    <t>Transaction Time</t>
  </si>
  <si>
    <t>Shows the time of the customer's transaction. which corresponds to transaction_date</t>
  </si>
  <si>
    <t>00:07:15.0000000
12:13:05.0000000
00:29:47.0000000
13:32:29.0000000
23:24:29.0000000</t>
  </si>
  <si>
    <t>Personal identification information so that the company knows who the customer is. The nature of data collection includes both natural persons and juristic persons
record:
1. Thai people can use their ID card or Thai passport as supporting documents. In cases where Thai people use their passports (for example, for investments) as supporting documents and to differentiate from foreigners Please see the attribute 'Customer nationality code'
2. Company/Organization (not a natural person) use 'Juristic Person Registration' or 'Memorandum of Association' as the business registration code. Shop registration code Alternative Registration Code, Swift Code or Tax Identification Numbe
3. Aliens use their passports or alien identification cards as supporting documents.
Format of alien identification card
Length &gt;= 2 and contains only Thai letters, numbers, dashes, slashes, and periods.
A 13-digit value starting with 0, 6, 7, or 8.
Format of passport ID
Only EN Capital, Number and Dash are available, length &gt;= 4 and the first 2 characters are English uppercase letters of the customer's nationality.
4. Other types of codes May include a temporary business ID. (Company only) Employee ID and Temporary Person ID (Individual only)</t>
  </si>
  <si>
    <t>1909800962719
3401600007407
3750300005341
1459900006733
3100905654718</t>
  </si>
  <si>
    <t xml:space="preserve">
Customer investment account number</t>
  </si>
  <si>
    <t>84075351
94093610
94013369
83086764
84606392</t>
  </si>
  <si>
    <t>amc code'</t>
  </si>
  <si>
    <t>ASSETFUND
BCAP
SCMAM
KSAM
KTAM</t>
  </si>
  <si>
    <t xml:space="preserve">
Unitholder ID will show information separated by the mutual fund company in which the investor has invested. You can view information on the website and application page</t>
  </si>
  <si>
    <t>530007757956
7641086330
000021119590
9070347630
8976501001157</t>
  </si>
  <si>
    <t>Transaction Type</t>
  </si>
  <si>
    <t>Code, type of customer transaction, such as buy, sell, switch in/out, etc</t>
  </si>
  <si>
    <t>SUB
XSO
SWI
TRO
RED</t>
  </si>
  <si>
    <t>All fund product codes under the company INVX manages, including products under other mutual fund companies</t>
  </si>
  <si>
    <t>Fund Category'</t>
  </si>
  <si>
    <t>TMBAGLF
ONE-UGG-ASSF
K-USXNDQ-A(D)
M-MIDSMALL-SSF
UGQG</t>
  </si>
  <si>
    <t>override risk profile flag</t>
  </si>
  <si>
    <t>Transactions in which the client accepts funds with a higher risk profile than their own</t>
  </si>
  <si>
    <t>N
Y</t>
  </si>
  <si>
    <t>Transactions in which the client accepts funds that are subject to exchange rate risk</t>
  </si>
  <si>
    <t>Redemption Type</t>
  </si>
  <si>
    <t>Types of investment unit sales orders, such as selling by number of units, selling by value of money, selling in total</t>
  </si>
  <si>
    <t>[]
AMT
ALL
UNIT</t>
  </si>
  <si>
    <t>Amount</t>
  </si>
  <si>
    <t xml:space="preserve">Transaction Value
Calculated from number of units x Net Asset Value </t>
  </si>
  <si>
    <t>949.1
35193.67
54197.53
1984.16
38.02</t>
  </si>
  <si>
    <t>Number of Unit</t>
  </si>
  <si>
    <t>Number of investment units</t>
  </si>
  <si>
    <t>8404.8523
435.0957
906.993
112.8246
47.8811</t>
  </si>
  <si>
    <t>Effective Date</t>
  </si>
  <si>
    <t>The effective date of the transaction order
- If the customer submits an order before the order cut-off time. The order will take effect on that day. The client will receive the NAV price of the fund on that day. and the system will deduct money from your bank account customers that day
- If the customer submits an order after the order cut-off time. The order will take effect on the next business day. Customers will receive the NAV price of the fund on the next business day. and the system will deduct money from customer's bank account on the next business day</t>
  </si>
  <si>
    <t>2024-04-11
2024-04-18
2024-04-09
2024-04-24
2024-04-22</t>
  </si>
  <si>
    <t>Switch-in fund code</t>
  </si>
  <si>
    <t>Name of the fund being switched into</t>
  </si>
  <si>
    <t>[]</t>
  </si>
  <si>
    <t>Payment type</t>
  </si>
  <si>
    <t>Type of payment/debit</t>
  </si>
  <si>
    <t>[]
TRN_SA
ATS_SA
COL_SA
ATS_AMC</t>
  </si>
  <si>
    <t>Bank Code</t>
  </si>
  <si>
    <t>The bank code of the account used for payment</t>
  </si>
  <si>
    <t>004
[]
014
006
002</t>
  </si>
  <si>
    <t>Bank Account Number</t>
  </si>
  <si>
    <t>Bank account number used for payment</t>
  </si>
  <si>
    <t>0812847850
2072356243
4230106662
0562259519
4021268457</t>
  </si>
  <si>
    <t>Cheque Number</t>
  </si>
  <si>
    <t>Check number in case of payment by check</t>
  </si>
  <si>
    <t>Cheque Date</t>
  </si>
  <si>
    <t xml:space="preserve">cheque due date </t>
  </si>
  <si>
    <t>Null</t>
  </si>
  <si>
    <t>IC Code</t>
  </si>
  <si>
    <t>Investment adviser's license number</t>
  </si>
  <si>
    <t>044715
066457
042394
115706
040356</t>
  </si>
  <si>
    <t>Fund marketing employee code</t>
  </si>
  <si>
    <t>Name of employee of the Thai marketing team responsible for overseeing fund products</t>
  </si>
  <si>
    <t>s50379
s61471
s92244
s93019
s84921</t>
  </si>
  <si>
    <t>Fund marketing division name</t>
  </si>
  <si>
    <t>Name of the team or marketing department that oversees the fund product</t>
  </si>
  <si>
    <t>Private Banking Dealer Team
INVX-Wealth Dealer 1
null
INVX-Team A2
Private Banking 2 Team 1</t>
  </si>
  <si>
    <t>Marketing Remark</t>
  </si>
  <si>
    <t>Note attached to transaction</t>
  </si>
  <si>
    <t>"- เริ่มงาน 03/08/2563,เลื่อนระดับชั้นเป็น ผู้ช่วยผู้อำนวยการ มีผล 01/01/2023,
- เริ่มงาน 21/05/2561, Reorganization เปลี่ยนชื่อจากฝ่ายธุรกิจอิเล็คทรอนิกส์ สายงานค้าหลักทรัพย์ ภายใต้ Data Analytics and Digital Business Group  มีผล 01/09/2020,Reorganization ธุรกิจอิเล็กทรอนิกส์และ ลูกค้าสัมพันธ์ (E-Business and Customer Service) เป็น ฝ่ายธุรกิจอิเล็คทรอนิกส์ (E-Business Department) มีผล 01/09/2021,Re org. จาก ฝ่ายธุรกิจอิเล็คทรอนิกส์ (E-Business Department) OC 4510 เป็น Thai Stock Sales OC 4512 มีผล 01/02/2023,,Re-Org Thai Stock Sales เป็น INVX-E-business, IFA &amp; Customer service มีผล 01/01/2024,เลื่อนระดับชั้นเป็น ผู้ช่วยผู้อำนวยการ มีผล 01/01/24,
- เรี่มงาน 01/11/2560, ย้ายจาก Customer Service ไป Dealer Team มีผล 01/03/2020, เปลี่ยนแปลงชื่อทีม จาก Dealer Team เป็น Private Banking Dealer Team มีผล 16/03/2563, โอนย้ายจาก Private Banking Dealer Team ไป ฝ่ายธุรกิ,Reorganization ธุรกิจอิเล็กทรอนิกส์และ ลูกค้าสัมพันธ์ (E-Business and Customer Service) เป็น ฝ่ายธุรกิจอิเล็คทรอนิกส์ (E-Business Department) มีผล 01/09/2021จอิเล็คทรอนิกส์ มีผล 04/08/2563, Reorganization เปลี่ยนชื่อจากฝ่ายธุรกิจอิเล็คทรอนิกส์ สายงานค้าหลักทรัพย์ ภายใต้ Data Analytics and Digital Business Group  มีผล 01/09/2020,Reorganization ธุรกิจอิเล็กทรอนิกส์และ ลูกค้าสัมพันธ์ (E-Business and Customer Service) เป็น ฝ่ายธุรกิจอิเล็คทรอนิกส์ (E-Business Department) มีผล 01/09/2021,ลาออก มีผล 15/04/2022,ยกเลิกการลาออก มีผล 22/03/2022,Re org. จากฝ่ายธุรกิจอิเล็คทรอนิกส์ (E-Business Department) OC 4510 เป็น Thai Stock Sales OC 4512 มีผล 01/02/2023,,Re-Org Thai Stock Sales เป็น INVX-E-business, IFA &amp; Customer service มีผล 01/01/2024,เลื่อนระดับชั้นเป็นผู้จัดการ มีผล 01/01/24,
- เริ่มงาน 01/07/2021, โอนย้ายไป เป็น Private Banking 2 Team 1 มีผล 01/04/2024
- เริ่มงาน 03/04/2560, Reorganization เปลี่ยนชื่อจากฝ่ายธุรกิจอิเล็คทรอนิกส์ สายงานค้าหลักทรัพย์ ภายใต้ Data Analytics and Digital Business Group  มีผล 01/09/2020,Reorganization ธุรกิจอิเล็กทรอนิกส์และ ลูกค้าสัมพันธ์ (E-Business and Customer Service) เป็น ฝ่ายธุรกิจอิเล็คทรอนิกส์ (E-Business Department) มีผล 01/09/2021,เลื่อนระดับชั้นเป็น ผู้อำนวยการ มีผล 01/01/2023,Re org. จาก ฝ่ายธุรกิจอิเล็คทรอนิกส์ (E-Business Department) OC 4510 เป็น Customer Service OC 4513 มีผล 01/02/2023,Re-Org INVX-E-business, IFA &amp; Customer service มีผล 01/01/2024,</t>
  </si>
  <si>
    <t>Branch Number</t>
  </si>
  <si>
    <t>Branch code</t>
  </si>
  <si>
    <t>06111
[]
07123
07130
01230</t>
  </si>
  <si>
    <t>Channel</t>
  </si>
  <si>
    <t>Transaction channels</t>
  </si>
  <si>
    <t>MKT
MOB
ONL</t>
  </si>
  <si>
    <t xml:space="preserve">
Transaction sub-channels</t>
  </si>
  <si>
    <t>Subcategories of digital transaction channels</t>
  </si>
  <si>
    <t>Others
Robo
Easy Invest</t>
  </si>
  <si>
    <t>Force Entry</t>
  </si>
  <si>
    <t>Items after cut-off time validation</t>
  </si>
  <si>
    <t>LTF List</t>
  </si>
  <si>
    <t>List of switching between LTF funds</t>
  </si>
  <si>
    <t>[]
0</t>
  </si>
  <si>
    <t>Reason to Sell Status</t>
  </si>
  <si>
    <t>Reasons for selling back in the case of funds
LTF /RMF/SSF/SSFX/TESG
1 = dead
2 = Disabled
3 = according to the conditions of the Revenue Department
4 = conditions not met</t>
  </si>
  <si>
    <t>[]
4
3</t>
  </si>
  <si>
    <t>RMF Capital Gain Flag</t>
  </si>
  <si>
    <t>Customers use tax benefits 
From RMF funds, including all mutual funds, not less than 5 years
Y : Waive withholding tax
N : Charge withholding tax</t>
  </si>
  <si>
    <t>[]
Y</t>
  </si>
  <si>
    <t>RMF Capital Amount</t>
  </si>
  <si>
    <t>Conditions for cutting investment costs in RMF funds
1 : Cut investment costs before announcement.
2 : Cut investment costs after announcement
3 : Write off the cost of investments purchased in the current year.
4 : Cut FIFO as usual</t>
  </si>
  <si>
    <t>Auto Redeem Fund Code</t>
  </si>
  <si>
    <t>Funds for switching into when the Term Fund matures and is set to auto redeem</t>
  </si>
  <si>
    <t>Order Status</t>
  </si>
  <si>
    <t>Transaction order status</t>
  </si>
  <si>
    <t>ALLOTTED
WAITING
REJECTED</t>
  </si>
  <si>
    <t>AMC Order Refer Number</t>
  </si>
  <si>
    <t>Reference No. that AMC sends orders to FundConnext</t>
  </si>
  <si>
    <t>202404190015330
202404190016130
2024042211553020201026155247
202404190018356
202404190022248</t>
  </si>
  <si>
    <t>Allotment Date</t>
  </si>
  <si>
    <t>Investment unit allocation date</t>
  </si>
  <si>
    <t>2024-04-22
null
2024-04-23
2024-04-19
2024-04-18</t>
  </si>
  <si>
    <t>Allotted NAV</t>
  </si>
  <si>
    <t>Price of allocated investment units</t>
  </si>
  <si>
    <t>7.876
17.5111
4.8597
26.3749
4.2636</t>
  </si>
  <si>
    <t>Allotted Amount</t>
  </si>
  <si>
    <t>Value of investment allocated
Calculated from alloted nav x alloted unit</t>
  </si>
  <si>
    <t>94.21
4.96
5.4
90.79
31.27</t>
  </si>
  <si>
    <t>Allotted Unit</t>
  </si>
  <si>
    <t>Number of investment units allocated</t>
  </si>
  <si>
    <t>3.4536
23.7975
18.4163
9.0145
34.6835</t>
  </si>
  <si>
    <t>Fee</t>
  </si>
  <si>
    <t>Fees for buying/selling investment units</t>
  </si>
  <si>
    <t>27.63
0.24
4.96
94.21
0.04</t>
  </si>
  <si>
    <t>Withholding Tax</t>
  </si>
  <si>
    <t>Withholding tax</t>
  </si>
  <si>
    <t>0.05
0.04
1.04
0.06
0.41</t>
  </si>
  <si>
    <t>VAT</t>
  </si>
  <si>
    <t>0.24
0.04
0.05
1.79
0.2</t>
  </si>
  <si>
    <t>Brokerage Fee</t>
  </si>
  <si>
    <t>Securities trading expenses</t>
  </si>
  <si>
    <t>0.24
1.87
0.04
0.2
0.05</t>
  </si>
  <si>
    <t>WTH Tax for LTF and RMF Rate</t>
  </si>
  <si>
    <t>WHT amount deducted in case of selling back LTF RMF</t>
  </si>
  <si>
    <t>0.00000000
Null
0.41
2.07
0.28</t>
  </si>
  <si>
    <t>AMC Pay Date</t>
  </si>
  <si>
    <t>2024-04-24
2024-04-22
2024-04-30
2024-04-26
null</t>
  </si>
  <si>
    <t>Register transaction Flag</t>
  </si>
  <si>
    <t>Items that customers order through AMC 
Or AMC makes the list itself, for example the list obtained from campaign will specify the value O</t>
  </si>
  <si>
    <t>O
[]</t>
  </si>
  <si>
    <t>Sell all Unit Flag</t>
  </si>
  <si>
    <t>List of all investment unit sales</t>
  </si>
  <si>
    <t>N
[]
Y</t>
  </si>
  <si>
    <t>Settlement Bank Code</t>
  </si>
  <si>
    <t>Settlement Bank Account</t>
  </si>
  <si>
    <t>1013278898
0821074339
4680575592
0006135994
0753023501</t>
  </si>
  <si>
    <t>Reject Reason Description</t>
  </si>
  <si>
    <t>Reason for rejecting items from asset management companies
when reject the item</t>
  </si>
  <si>
    <t>ORDER AMOUNT OVER AVAILABLE BALANCE
[]
ไม่สามารถทำรายการได้ เนื่องจากใช้ระยะเวลาในการสับเ
DATA NOT UPDATE
Cannot proceed your order as the effective date of</t>
  </si>
  <si>
    <t>Cheque branch</t>
  </si>
  <si>
    <t>Bank branch from which the check was issued (in the case of payment by check)</t>
  </si>
  <si>
    <t>Tax Invoice Number</t>
  </si>
  <si>
    <t>Order Reference</t>
  </si>
  <si>
    <t>2024-04-19-23.11.48.781067
2024-04-17-16.54.29.501135
2024-04-22-20.16.57.332192
2024-04-17-16.54.29.508755
2024-04-17-16.54.29.513431</t>
  </si>
  <si>
    <t>93800
86864
93019
100353
72865</t>
  </si>
  <si>
    <t>Brokerage Fee Vat</t>
  </si>
  <si>
    <t>0.00000000
Null
0.05
0.07
0.1</t>
  </si>
  <si>
    <t>Approval Code</t>
  </si>
  <si>
    <t>Credit card approval code 
In the case of paying by credit card</t>
  </si>
  <si>
    <t>NAV Date</t>
  </si>
  <si>
    <t>NAV announcement date</t>
  </si>
  <si>
    <t>2024-04-18
2024-04-22
null
2024-03-01
2024-04-19</t>
  </si>
  <si>
    <t>Colleteral Account</t>
  </si>
  <si>
    <t>Collateral account</t>
  </si>
  <si>
    <t>Credit Card Issuer</t>
  </si>
  <si>
    <t>Credit card issuer (in case of paying by credit card)</t>
  </si>
  <si>
    <t>Fund Type</t>
  </si>
  <si>
    <t>Fund type</t>
  </si>
  <si>
    <t>22/4/2567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</si>
</sst>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Tahoma"/>
      <family val="2"/>
      <charset val="222"/>
      <scheme val="minor"/>
    </font>
    <font>
      <sz val="10"/>
      <color theme="1"/>
      <name val="Tahoma"/>
      <family val="2"/>
      <scheme val="minor"/>
    </font>
    <font>
      <b/>
      <sz val="10"/>
      <color theme="1"/>
      <name val="Tahoma"/>
      <family val="2"/>
      <scheme val="minor"/>
    </font>
    <font>
      <sz val="11"/>
      <color theme="1"/>
      <name val="Tahoma"/>
      <family val="2"/>
      <scheme val="minor"/>
    </font>
    <font>
      <sz val="11"/>
      <color theme="1"/>
      <name val="Tahoma"/>
      <family val="2"/>
      <charset val="222"/>
      <scheme val="minor"/>
    </font>
    <font>
      <b/>
      <sz val="11"/>
      <color theme="1"/>
      <name val="Tahoma"/>
      <family val="2"/>
      <scheme val="minor"/>
    </font>
    <font>
      <b/>
      <sz val="11"/>
      <color theme="0"/>
      <name val="Tahoma"/>
      <family val="2"/>
      <scheme val="minor"/>
    </font>
    <font>
      <sz val="11"/>
      <name val="Tahoma"/>
      <family val="2"/>
      <scheme val="minor"/>
    </font>
    <font>
      <sz val="11"/>
      <color rgb="FFFF0000"/>
      <name val="Tahoma"/>
      <family val="2"/>
      <scheme val="minor"/>
    </font>
    <font>
      <sz val="10"/>
      <color rgb="FF808080"/>
      <name val="Arial"/>
      <family val="2"/>
    </font>
    <font>
      <sz val="10"/>
      <name val="Arial"/>
      <family val="2"/>
    </font>
    <font>
      <sz val="10"/>
      <color rgb="FF0000FF"/>
      <name val="Arial"/>
      <family val="2"/>
    </font>
    <font>
      <sz val="10"/>
      <color rgb="FF0000FF"/>
      <name val="Tahoma"/>
      <family val="2"/>
      <scheme val="minor"/>
    </font>
    <font>
      <b/>
      <sz val="14"/>
      <color rgb="FF7030A0"/>
      <name val="Tahoma"/>
      <family val="2"/>
      <scheme val="minor"/>
    </font>
    <font>
      <u/>
      <sz val="11"/>
      <name val="Tahoma"/>
      <family val="2"/>
      <scheme val="minor"/>
    </font>
    <font>
      <sz val="12"/>
      <name val="Tahoma"/>
      <family val="2"/>
      <scheme val="minor"/>
    </font>
    <font>
      <b/>
      <sz val="11"/>
      <name val="Tahoma"/>
      <family val="2"/>
      <scheme val="minor"/>
    </font>
    <font>
      <sz val="8"/>
      <color theme="1"/>
      <name val="Tahoma"/>
      <family val="2"/>
      <scheme val="minor"/>
    </font>
    <font>
      <b/>
      <sz val="8"/>
      <color theme="1"/>
      <name val="Tahoma"/>
      <family val="2"/>
      <scheme val="minor"/>
    </font>
    <font>
      <sz val="8"/>
      <color rgb="FF323338"/>
      <name val="Tahoma"/>
      <family val="2"/>
      <scheme val="minor"/>
    </font>
    <font>
      <sz val="8"/>
      <name val="Tahoma"/>
      <family val="2"/>
      <charset val="222"/>
      <scheme val="minor"/>
    </font>
    <font>
      <b/>
      <sz val="24"/>
      <color rgb="FF7030A0"/>
      <name val="Tahoma"/>
      <family val="2"/>
      <scheme val="minor"/>
    </font>
    <font>
      <sz val="11"/>
      <color theme="2" tint="-0.89999084444715716"/>
      <name val="Tahoma"/>
      <family val="2"/>
      <charset val="222"/>
      <scheme val="minor"/>
    </font>
    <font>
      <u/>
      <sz val="11"/>
      <color theme="10"/>
      <name val="Tahoma"/>
      <family val="2"/>
      <charset val="222"/>
      <scheme val="minor"/>
    </font>
    <font>
      <u/>
      <sz val="10"/>
      <color theme="1"/>
      <name val="Tahoma"/>
      <family val="2"/>
      <scheme val="minor"/>
    </font>
  </fonts>
  <fills count="19">
    <fill>
      <patternFill patternType="none"/>
    </fill>
    <fill>
      <patternFill patternType="gray125"/>
    </fill>
    <fill>
      <patternFill patternType="solid">
        <fgColor rgb="FFB2BECE"/>
        <bgColor indexed="64"/>
      </patternFill>
    </fill>
    <fill>
      <patternFill patternType="solid">
        <fgColor rgb="FFCED6E0"/>
        <bgColor indexed="64"/>
      </patternFill>
    </fill>
    <fill>
      <patternFill patternType="solid">
        <fgColor theme="5" tint="0.39997558519241921"/>
        <bgColor indexed="64"/>
      </patternFill>
    </fill>
    <fill>
      <patternFill patternType="solid">
        <fgColor theme="8" tint="0.59999389629810485"/>
        <bgColor indexed="64"/>
      </patternFill>
    </fill>
    <fill>
      <patternFill patternType="solid">
        <fgColor theme="7" tint="0.39997558519241921"/>
        <bgColor indexed="64"/>
      </patternFill>
    </fill>
    <fill>
      <patternFill patternType="solid">
        <fgColor theme="6" tint="0.59999389629810485"/>
        <bgColor indexed="64"/>
      </patternFill>
    </fill>
    <fill>
      <patternFill patternType="solid">
        <fgColor theme="7" tint="0.59999389629810485"/>
        <bgColor indexed="64"/>
      </patternFill>
    </fill>
    <fill>
      <patternFill patternType="solid">
        <fgColor theme="8" tint="0.79998168889431442"/>
        <bgColor indexed="64"/>
      </patternFill>
    </fill>
    <fill>
      <patternFill patternType="solid">
        <fgColor theme="3"/>
        <bgColor indexed="64"/>
      </patternFill>
    </fill>
    <fill>
      <patternFill patternType="solid">
        <fgColor theme="8" tint="-0.499984740745262"/>
        <bgColor indexed="64"/>
      </patternFill>
    </fill>
    <fill>
      <patternFill patternType="solid">
        <fgColor theme="0"/>
        <bgColor indexed="64"/>
      </patternFill>
    </fill>
    <fill>
      <patternFill patternType="solid">
        <fgColor rgb="FFFFFFFF"/>
        <bgColor rgb="FF000000"/>
      </patternFill>
    </fill>
    <fill>
      <patternFill patternType="solid">
        <fgColor theme="2"/>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rgb="FFC00000"/>
        <bgColor indexed="64"/>
      </patternFill>
    </fill>
    <fill>
      <patternFill patternType="solid">
        <fgColor rgb="FFFFFF00"/>
        <bgColor indexed="64"/>
      </patternFill>
    </fill>
  </fills>
  <borders count="22">
    <border>
      <left/>
      <right/>
      <top/>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style="thin">
        <color rgb="FFFFFFFF"/>
      </left>
      <right style="thin">
        <color rgb="FFFFFFFF"/>
      </right>
      <top style="thin">
        <color rgb="FFFFFFFF"/>
      </top>
      <bottom style="thin">
        <color rgb="FFFFFFFF"/>
      </bottom>
      <diagonal/>
    </border>
    <border>
      <left style="thin">
        <color rgb="FFFFFFFF"/>
      </left>
      <right/>
      <top style="thin">
        <color rgb="FFFFFFFF"/>
      </top>
      <bottom style="thin">
        <color rgb="FFFFFFFF"/>
      </bottom>
      <diagonal/>
    </border>
    <border>
      <left/>
      <right/>
      <top style="thin">
        <color rgb="FFFFFFFF"/>
      </top>
      <bottom style="thin">
        <color rgb="FFFFFFFF"/>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right/>
      <top style="thin">
        <color theme="9" tint="0.39997558519241921"/>
      </top>
      <bottom/>
      <diagonal/>
    </border>
  </borders>
  <cellStyleXfs count="4">
    <xf numFmtId="0" fontId="0" fillId="0" borderId="0"/>
    <xf numFmtId="0" fontId="3" fillId="0" borderId="0"/>
    <xf numFmtId="0" fontId="4" fillId="0" borderId="0"/>
    <xf numFmtId="0" fontId="23" fillId="0" borderId="0" applyNumberFormat="0" applyFill="0" applyBorder="0" applyAlignment="0" applyProtection="0"/>
  </cellStyleXfs>
  <cellXfs count="101">
    <xf numFmtId="0" fontId="0" fillId="0" borderId="0" xfId="0"/>
    <xf numFmtId="0" fontId="0" fillId="0" borderId="0" xfId="0" applyAlignment="1">
      <alignment wrapText="1"/>
    </xf>
    <xf numFmtId="0" fontId="1" fillId="0" borderId="0" xfId="0" applyFont="1"/>
    <xf numFmtId="0" fontId="1" fillId="2" borderId="0" xfId="0" applyFont="1" applyFill="1" applyAlignment="1">
      <alignment horizontal="center" vertical="center" wrapText="1"/>
    </xf>
    <xf numFmtId="0" fontId="1" fillId="3" borderId="0" xfId="0" applyFont="1" applyFill="1" applyAlignment="1">
      <alignment horizontal="center" vertical="center" wrapText="1"/>
    </xf>
    <xf numFmtId="0" fontId="1" fillId="4" borderId="1" xfId="0" applyFont="1" applyFill="1" applyBorder="1" applyAlignment="1">
      <alignment horizontal="center" vertical="center" wrapText="1"/>
    </xf>
    <xf numFmtId="0" fontId="1" fillId="5" borderId="0" xfId="0" applyFont="1" applyFill="1" applyAlignment="1">
      <alignment horizontal="center" vertical="center" wrapText="1"/>
    </xf>
    <xf numFmtId="0" fontId="1" fillId="6" borderId="0" xfId="0" applyFont="1" applyFill="1" applyAlignment="1">
      <alignment horizontal="center" vertical="center" wrapText="1"/>
    </xf>
    <xf numFmtId="0" fontId="1" fillId="7" borderId="0" xfId="0" applyFont="1" applyFill="1" applyAlignment="1">
      <alignment horizontal="center" vertical="center" wrapText="1"/>
    </xf>
    <xf numFmtId="0" fontId="1" fillId="0" borderId="0" xfId="0" applyFont="1" applyAlignment="1">
      <alignment horizontal="center" vertical="center" wrapText="1"/>
    </xf>
    <xf numFmtId="0" fontId="1" fillId="8" borderId="0" xfId="0" applyFont="1" applyFill="1" applyAlignment="1">
      <alignment horizontal="center" vertical="center" wrapText="1"/>
    </xf>
    <xf numFmtId="0" fontId="0" fillId="0" borderId="1" xfId="0" applyBorder="1"/>
    <xf numFmtId="0" fontId="1" fillId="9" borderId="0" xfId="0" applyFont="1" applyFill="1" applyAlignment="1">
      <alignment horizontal="center" vertical="center" wrapText="1"/>
    </xf>
    <xf numFmtId="0" fontId="0" fillId="0" borderId="2" xfId="0" applyBorder="1"/>
    <xf numFmtId="0" fontId="6" fillId="10" borderId="0" xfId="0" applyFont="1" applyFill="1"/>
    <xf numFmtId="0" fontId="6" fillId="11" borderId="0" xfId="1" applyFont="1" applyFill="1"/>
    <xf numFmtId="0" fontId="3" fillId="0" borderId="0" xfId="1"/>
    <xf numFmtId="0" fontId="7" fillId="0" borderId="1" xfId="1" applyFont="1" applyBorder="1"/>
    <xf numFmtId="0" fontId="3" fillId="0" borderId="0" xfId="1" applyAlignment="1">
      <alignment horizontal="left" vertical="top"/>
    </xf>
    <xf numFmtId="0" fontId="3" fillId="0" borderId="0" xfId="1" applyAlignment="1">
      <alignment wrapText="1"/>
    </xf>
    <xf numFmtId="0" fontId="7" fillId="0" borderId="2" xfId="1" applyFont="1" applyBorder="1"/>
    <xf numFmtId="0" fontId="3" fillId="0" borderId="0" xfId="1" applyAlignment="1">
      <alignment vertical="top"/>
    </xf>
    <xf numFmtId="0" fontId="7" fillId="0" borderId="1" xfId="1" applyFont="1" applyBorder="1" applyAlignment="1">
      <alignment vertical="top"/>
    </xf>
    <xf numFmtId="0" fontId="0" fillId="0" borderId="0" xfId="1" applyFont="1" applyAlignment="1">
      <alignment horizontal="left" vertical="top" wrapText="1"/>
    </xf>
    <xf numFmtId="0" fontId="7" fillId="0" borderId="0" xfId="1" applyFont="1"/>
    <xf numFmtId="0" fontId="9" fillId="0" borderId="3" xfId="1" applyFont="1" applyBorder="1" applyAlignment="1">
      <alignment horizontal="right" indent="1"/>
    </xf>
    <xf numFmtId="0" fontId="10" fillId="0" borderId="3" xfId="1" applyFont="1" applyBorder="1"/>
    <xf numFmtId="0" fontId="3" fillId="12" borderId="0" xfId="1" applyFill="1"/>
    <xf numFmtId="0" fontId="11" fillId="0" borderId="3" xfId="1" applyFont="1" applyBorder="1" applyAlignment="1">
      <alignment horizontal="left" indent="1"/>
    </xf>
    <xf numFmtId="0" fontId="12" fillId="13" borderId="3" xfId="1" applyFont="1" applyFill="1" applyBorder="1"/>
    <xf numFmtId="0" fontId="13" fillId="13" borderId="3" xfId="1" applyFont="1" applyFill="1" applyBorder="1"/>
    <xf numFmtId="0" fontId="14" fillId="13" borderId="3" xfId="1" applyFont="1" applyFill="1" applyBorder="1"/>
    <xf numFmtId="0" fontId="15" fillId="13" borderId="3" xfId="1" applyFont="1" applyFill="1" applyBorder="1"/>
    <xf numFmtId="0" fontId="4" fillId="0" borderId="0" xfId="2"/>
    <xf numFmtId="0" fontId="4" fillId="0" borderId="6" xfId="2" applyBorder="1"/>
    <xf numFmtId="0" fontId="4" fillId="0" borderId="7" xfId="2" applyBorder="1"/>
    <xf numFmtId="0" fontId="4" fillId="0" borderId="8" xfId="2" applyBorder="1"/>
    <xf numFmtId="0" fontId="4" fillId="0" borderId="9" xfId="2" applyBorder="1"/>
    <xf numFmtId="0" fontId="4" fillId="0" borderId="10" xfId="2" applyBorder="1"/>
    <xf numFmtId="0" fontId="4" fillId="0" borderId="11" xfId="2" applyBorder="1"/>
    <xf numFmtId="0" fontId="5" fillId="14" borderId="12" xfId="2" applyFont="1" applyFill="1" applyBorder="1" applyAlignment="1">
      <alignment horizontal="center"/>
    </xf>
    <xf numFmtId="14" fontId="4" fillId="0" borderId="14" xfId="2" applyNumberFormat="1" applyBorder="1"/>
    <xf numFmtId="0" fontId="4" fillId="0" borderId="14" xfId="2" applyBorder="1"/>
    <xf numFmtId="0" fontId="2" fillId="0" borderId="0" xfId="2" applyFont="1"/>
    <xf numFmtId="0" fontId="17" fillId="0" borderId="18" xfId="2" applyFont="1" applyBorder="1" applyAlignment="1">
      <alignment horizontal="center" vertical="center"/>
    </xf>
    <xf numFmtId="0" fontId="19" fillId="0" borderId="17" xfId="2" applyFont="1" applyBorder="1"/>
    <xf numFmtId="0" fontId="17" fillId="0" borderId="18" xfId="2" applyFont="1" applyBorder="1"/>
    <xf numFmtId="0" fontId="3" fillId="0" borderId="0" xfId="2" applyFont="1"/>
    <xf numFmtId="0" fontId="4" fillId="0" borderId="19" xfId="2" applyBorder="1"/>
    <xf numFmtId="0" fontId="4" fillId="0" borderId="20" xfId="2" applyBorder="1"/>
    <xf numFmtId="0" fontId="4" fillId="0" borderId="13" xfId="2" applyBorder="1"/>
    <xf numFmtId="14" fontId="4" fillId="0" borderId="8" xfId="2" applyNumberFormat="1" applyBorder="1"/>
    <xf numFmtId="0" fontId="19" fillId="0" borderId="0" xfId="2" applyFont="1"/>
    <xf numFmtId="0" fontId="19" fillId="0" borderId="18" xfId="2" applyFont="1" applyBorder="1"/>
    <xf numFmtId="14" fontId="4" fillId="0" borderId="0" xfId="2" applyNumberFormat="1"/>
    <xf numFmtId="0" fontId="3" fillId="0" borderId="21" xfId="0" applyFont="1" applyBorder="1" applyAlignment="1">
      <alignment wrapText="1"/>
    </xf>
    <xf numFmtId="0" fontId="1" fillId="4" borderId="21" xfId="0" applyFont="1" applyFill="1" applyBorder="1" applyAlignment="1">
      <alignment horizontal="center" vertical="center" wrapText="1"/>
    </xf>
    <xf numFmtId="0" fontId="3" fillId="0" borderId="21" xfId="0" applyFont="1" applyBorder="1"/>
    <xf numFmtId="0" fontId="3" fillId="16" borderId="0" xfId="0" applyFont="1" applyFill="1" applyAlignment="1">
      <alignment horizontal="center" vertical="center" wrapText="1"/>
    </xf>
    <xf numFmtId="0" fontId="3" fillId="8" borderId="0" xfId="0" applyFont="1" applyFill="1" applyAlignment="1">
      <alignment horizontal="center" vertical="center" wrapText="1"/>
    </xf>
    <xf numFmtId="0" fontId="6" fillId="10" borderId="0" xfId="0" applyFont="1" applyFill="1" applyAlignment="1">
      <alignment horizontal="center" vertical="center"/>
    </xf>
    <xf numFmtId="0" fontId="5" fillId="16" borderId="0" xfId="0" applyFont="1" applyFill="1" applyAlignment="1">
      <alignment horizontal="center" vertical="center" wrapText="1"/>
    </xf>
    <xf numFmtId="10" fontId="6" fillId="17" borderId="0" xfId="0" applyNumberFormat="1" applyFont="1" applyFill="1" applyAlignment="1">
      <alignment horizontal="center" vertical="center"/>
    </xf>
    <xf numFmtId="10" fontId="0" fillId="0" borderId="0" xfId="0" applyNumberFormat="1"/>
    <xf numFmtId="0" fontId="5" fillId="18" borderId="0" xfId="0" applyFont="1" applyFill="1"/>
    <xf numFmtId="0" fontId="0" fillId="0" borderId="0" xfId="0" applyAlignment="1">
      <alignment horizontal="left" vertical="center"/>
    </xf>
    <xf numFmtId="0" fontId="0" fillId="0" borderId="18" xfId="0" applyBorder="1"/>
    <xf numFmtId="0" fontId="21" fillId="0" borderId="0" xfId="0" applyFont="1"/>
    <xf numFmtId="0" fontId="22" fillId="0" borderId="0" xfId="0" applyFont="1" applyAlignment="1">
      <alignment horizontal="left" vertical="center"/>
    </xf>
    <xf numFmtId="0" fontId="23" fillId="0" borderId="0" xfId="3"/>
    <xf numFmtId="14" fontId="1" fillId="0" borderId="0" xfId="0" applyNumberFormat="1" applyFont="1"/>
    <xf numFmtId="14" fontId="0" fillId="0" borderId="0" xfId="0" applyNumberFormat="1"/>
    <xf numFmtId="0" fontId="1" fillId="0" borderId="0" xfId="0" applyFont="1" applyAlignment="1">
      <alignment wrapText="1"/>
    </xf>
    <xf numFmtId="0" fontId="0" fillId="0" borderId="0" xfId="0" applyNumberFormat="1"/>
    <xf numFmtId="0" fontId="1" fillId="0" borderId="0" xfId="0" applyNumberFormat="1" applyFont="1"/>
    <xf numFmtId="0" fontId="11" fillId="0" borderId="4" xfId="1" applyFont="1" applyBorder="1" applyAlignment="1">
      <alignment horizontal="left" wrapText="1"/>
    </xf>
    <xf numFmtId="0" fontId="11" fillId="0" borderId="5" xfId="1" applyFont="1" applyBorder="1" applyAlignment="1">
      <alignment horizontal="left" wrapText="1"/>
    </xf>
    <xf numFmtId="0" fontId="0" fillId="0" borderId="0" xfId="0" applyAlignment="1">
      <alignment horizontal="left"/>
    </xf>
    <xf numFmtId="0" fontId="4" fillId="0" borderId="0" xfId="2" applyAlignment="1">
      <alignment horizontal="left" vertical="top" wrapText="1"/>
    </xf>
    <xf numFmtId="0" fontId="17" fillId="16" borderId="6" xfId="2" applyFont="1" applyFill="1" applyBorder="1" applyAlignment="1">
      <alignment horizontal="center" vertical="center"/>
    </xf>
    <xf numFmtId="0" fontId="17" fillId="16" borderId="13" xfId="2" applyFont="1" applyFill="1" applyBorder="1" applyAlignment="1">
      <alignment horizontal="center" vertical="center"/>
    </xf>
    <xf numFmtId="0" fontId="17" fillId="16" borderId="7" xfId="2" applyFont="1" applyFill="1" applyBorder="1" applyAlignment="1">
      <alignment horizontal="center" vertical="center"/>
    </xf>
    <xf numFmtId="0" fontId="17" fillId="16" borderId="8" xfId="2" applyFont="1" applyFill="1" applyBorder="1" applyAlignment="1">
      <alignment horizontal="center" vertical="center"/>
    </xf>
    <xf numFmtId="0" fontId="17" fillId="16" borderId="0" xfId="2" applyFont="1" applyFill="1" applyAlignment="1">
      <alignment horizontal="center" vertical="center"/>
    </xf>
    <xf numFmtId="0" fontId="17" fillId="16" borderId="9" xfId="2" applyFont="1" applyFill="1" applyBorder="1" applyAlignment="1">
      <alignment horizontal="center" vertical="center"/>
    </xf>
    <xf numFmtId="0" fontId="17" fillId="16" borderId="10" xfId="2" applyFont="1" applyFill="1" applyBorder="1" applyAlignment="1">
      <alignment horizontal="center" vertical="center"/>
    </xf>
    <xf numFmtId="0" fontId="17" fillId="16" borderId="20" xfId="2" applyFont="1" applyFill="1" applyBorder="1" applyAlignment="1">
      <alignment horizontal="center" vertical="center"/>
    </xf>
    <xf numFmtId="0" fontId="17" fillId="16" borderId="11" xfId="2" applyFont="1" applyFill="1" applyBorder="1" applyAlignment="1">
      <alignment horizontal="center" vertical="center"/>
    </xf>
    <xf numFmtId="0" fontId="16" fillId="15" borderId="13" xfId="2" applyFont="1" applyFill="1" applyBorder="1" applyAlignment="1">
      <alignment horizontal="center"/>
    </xf>
    <xf numFmtId="0" fontId="16" fillId="15" borderId="7" xfId="2" applyFont="1" applyFill="1" applyBorder="1" applyAlignment="1">
      <alignment horizontal="center"/>
    </xf>
    <xf numFmtId="0" fontId="2" fillId="0" borderId="0" xfId="2" applyFont="1" applyAlignment="1">
      <alignment horizontal="center"/>
    </xf>
    <xf numFmtId="0" fontId="17" fillId="0" borderId="7" xfId="2" applyFont="1" applyBorder="1" applyAlignment="1">
      <alignment horizontal="center" vertical="center" wrapText="1"/>
    </xf>
    <xf numFmtId="0" fontId="17" fillId="0" borderId="11" xfId="2" applyFont="1" applyBorder="1" applyAlignment="1">
      <alignment horizontal="center" vertical="center" wrapText="1"/>
    </xf>
    <xf numFmtId="0" fontId="18" fillId="0" borderId="15" xfId="2" applyFont="1" applyBorder="1" applyAlignment="1">
      <alignment horizontal="center" vertical="center"/>
    </xf>
    <xf numFmtId="0" fontId="18" fillId="0" borderId="16" xfId="2" applyFont="1" applyBorder="1" applyAlignment="1">
      <alignment horizontal="center" vertical="center"/>
    </xf>
    <xf numFmtId="0" fontId="18" fillId="0" borderId="17" xfId="2" applyFont="1" applyBorder="1" applyAlignment="1">
      <alignment horizontal="center" vertical="center"/>
    </xf>
    <xf numFmtId="0" fontId="18" fillId="0" borderId="15" xfId="2" applyFont="1" applyBorder="1" applyAlignment="1">
      <alignment horizontal="center"/>
    </xf>
    <xf numFmtId="0" fontId="18" fillId="0" borderId="16" xfId="2" applyFont="1" applyBorder="1" applyAlignment="1">
      <alignment horizontal="center"/>
    </xf>
    <xf numFmtId="0" fontId="18" fillId="0" borderId="17" xfId="2" applyFont="1" applyBorder="1" applyAlignment="1">
      <alignment horizontal="center"/>
    </xf>
    <xf numFmtId="0" fontId="17" fillId="16" borderId="18" xfId="2" applyFont="1" applyFill="1" applyBorder="1" applyAlignment="1">
      <alignment horizontal="center"/>
    </xf>
    <xf numFmtId="0" fontId="17" fillId="0" borderId="18" xfId="2" applyFont="1" applyBorder="1" applyAlignment="1">
      <alignment horizontal="center" vertical="center" wrapText="1"/>
    </xf>
  </cellXfs>
  <cellStyles count="4">
    <cellStyle name="Hyperlink" xfId="3" builtinId="8"/>
    <cellStyle name="Normal" xfId="0" builtinId="0"/>
    <cellStyle name="Normal 2" xfId="1" xr:uid="{4EED5EA1-CF82-4914-93F4-21A3A6B6B529}"/>
    <cellStyle name="Normal 3" xfId="2" xr:uid="{490A7F7F-5E2E-480B-8336-C44F684C77FF}"/>
  </cellStyles>
  <dxfs count="46">
    <dxf>
      <numFmt numFmtId="0" formatCode="General"/>
    </dxf>
    <dxf>
      <numFmt numFmtId="19" formatCode="dd/mm/yyyy"/>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strike val="0"/>
        <outline val="0"/>
        <shadow val="0"/>
        <u val="none"/>
        <vertAlign val="baseline"/>
        <sz val="10"/>
        <color theme="1"/>
        <name val="Tahoma"/>
        <family val="2"/>
        <scheme val="minor"/>
      </font>
      <numFmt numFmtId="0" formatCode="General"/>
    </dxf>
    <dxf>
      <font>
        <strike val="0"/>
        <outline val="0"/>
        <shadow val="0"/>
        <u val="none"/>
        <vertAlign val="baseline"/>
        <sz val="10"/>
        <color theme="1"/>
        <name val="Tahoma"/>
        <family val="2"/>
        <scheme val="minor"/>
      </font>
      <numFmt numFmtId="0" formatCode="General"/>
    </dxf>
    <dxf>
      <font>
        <strike val="0"/>
        <outline val="0"/>
        <shadow val="0"/>
        <u val="none"/>
        <vertAlign val="baseline"/>
        <sz val="10"/>
        <color theme="1"/>
        <name val="Tahoma"/>
        <family val="2"/>
        <scheme val="minor"/>
      </font>
      <numFmt numFmtId="19" formatCode="dd/mm/yyyy"/>
    </dxf>
    <dxf>
      <font>
        <strike val="0"/>
        <outline val="0"/>
        <shadow val="0"/>
        <u val="none"/>
        <vertAlign val="baseline"/>
        <sz val="10"/>
        <color theme="1"/>
        <name val="Tahoma"/>
        <family val="2"/>
        <scheme val="minor"/>
      </font>
      <numFmt numFmtId="0" formatCode="General"/>
    </dxf>
    <dxf>
      <font>
        <strike val="0"/>
        <outline val="0"/>
        <shadow val="0"/>
        <u val="none"/>
        <vertAlign val="baseline"/>
        <sz val="10"/>
        <color theme="1"/>
        <name val="Tahoma"/>
        <family val="2"/>
        <scheme val="minor"/>
      </font>
      <numFmt numFmtId="0" formatCode="General"/>
    </dxf>
    <dxf>
      <font>
        <strike val="0"/>
        <outline val="0"/>
        <shadow val="0"/>
        <u val="none"/>
        <vertAlign val="baseline"/>
        <sz val="10"/>
        <color theme="1"/>
        <name val="Tahoma"/>
        <family val="2"/>
        <scheme val="minor"/>
      </font>
      <numFmt numFmtId="0" formatCode="General"/>
    </dxf>
    <dxf>
      <font>
        <strike val="0"/>
        <outline val="0"/>
        <shadow val="0"/>
        <u val="none"/>
        <vertAlign val="baseline"/>
        <sz val="10"/>
        <color theme="1"/>
        <name val="Tahoma"/>
        <family val="2"/>
        <scheme val="minor"/>
      </font>
    </dxf>
    <dxf>
      <font>
        <strike val="0"/>
        <outline val="0"/>
        <shadow val="0"/>
        <u val="none"/>
        <vertAlign val="baseline"/>
        <sz val="10"/>
        <color theme="1"/>
        <name val="Tahoma"/>
        <family val="2"/>
        <scheme val="minor"/>
      </font>
      <numFmt numFmtId="0" formatCode="General"/>
    </dxf>
    <dxf>
      <font>
        <strike val="0"/>
        <outline val="0"/>
        <shadow val="0"/>
        <u val="none"/>
        <vertAlign val="baseline"/>
        <sz val="10"/>
        <color theme="1"/>
        <name val="Tahoma"/>
        <family val="2"/>
        <scheme val="minor"/>
      </font>
      <numFmt numFmtId="0" formatCode="General"/>
    </dxf>
    <dxf>
      <alignment horizontal="general" vertical="bottom" textRotation="0" wrapText="1" indent="0" justifyLastLine="0" shrinkToFit="0" readingOrder="0"/>
    </dxf>
    <dxf>
      <font>
        <strike val="0"/>
        <outline val="0"/>
        <shadow val="0"/>
        <u val="none"/>
        <vertAlign val="baseline"/>
        <sz val="10"/>
        <color theme="1"/>
        <name val="Tahoma"/>
        <family val="2"/>
        <scheme val="minor"/>
      </font>
      <numFmt numFmtId="0" formatCode="General"/>
    </dxf>
    <dxf>
      <font>
        <strike val="0"/>
        <outline val="0"/>
        <shadow val="0"/>
        <u val="none"/>
        <vertAlign val="baseline"/>
        <sz val="10"/>
        <color theme="1"/>
        <name val="Tahoma"/>
        <family val="2"/>
        <scheme val="minor"/>
      </font>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strike val="0"/>
        <outline val="0"/>
        <shadow val="0"/>
        <u val="none"/>
        <vertAlign val="baseline"/>
        <sz val="10"/>
        <color theme="1"/>
        <name val="Tahoma"/>
        <family val="2"/>
        <scheme val="minor"/>
      </font>
    </dxf>
    <dxf>
      <font>
        <strike val="0"/>
        <outline val="0"/>
        <shadow val="0"/>
        <u val="none"/>
        <vertAlign val="baseline"/>
        <sz val="10"/>
        <color theme="1"/>
        <name val="Tahoma"/>
        <family val="2"/>
        <scheme val="minor"/>
      </font>
    </dxf>
  </dxfs>
  <tableStyles count="0" defaultTableStyle="TableStyleMedium2" defaultPivotStyle="PivotStyleLight16"/>
  <colors>
    <mruColors>
      <color rgb="FFDFC9EF"/>
      <color rgb="FFE4D2F2"/>
      <color rgb="FFCED6E0"/>
      <color rgb="FFB2BEC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31750</xdr:colOff>
      <xdr:row>14</xdr:row>
      <xdr:rowOff>152400</xdr:rowOff>
    </xdr:from>
    <xdr:to>
      <xdr:col>3</xdr:col>
      <xdr:colOff>3473815</xdr:colOff>
      <xdr:row>23</xdr:row>
      <xdr:rowOff>165183</xdr:rowOff>
    </xdr:to>
    <xdr:pic>
      <xdr:nvPicPr>
        <xdr:cNvPr id="2" name="Picture 1">
          <a:extLst>
            <a:ext uri="{FF2B5EF4-FFF2-40B4-BE49-F238E27FC236}">
              <a16:creationId xmlns:a16="http://schemas.microsoft.com/office/drawing/2014/main" id="{CB95460D-DE8E-32DF-8577-BBB04E512241}"/>
            </a:ext>
          </a:extLst>
        </xdr:cNvPr>
        <xdr:cNvPicPr>
          <a:picLocks noChangeAspect="1"/>
        </xdr:cNvPicPr>
      </xdr:nvPicPr>
      <xdr:blipFill>
        <a:blip xmlns:r="http://schemas.openxmlformats.org/officeDocument/2006/relationships" r:embed="rId1"/>
        <a:stretch>
          <a:fillRect/>
        </a:stretch>
      </xdr:blipFill>
      <xdr:spPr>
        <a:xfrm>
          <a:off x="273050" y="2813050"/>
          <a:ext cx="7093315" cy="161298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31</xdr:row>
      <xdr:rowOff>105833</xdr:rowOff>
    </xdr:from>
    <xdr:to>
      <xdr:col>8</xdr:col>
      <xdr:colOff>64858</xdr:colOff>
      <xdr:row>33</xdr:row>
      <xdr:rowOff>85743</xdr:rowOff>
    </xdr:to>
    <xdr:pic>
      <xdr:nvPicPr>
        <xdr:cNvPr id="2" name="Picture 1">
          <a:extLst>
            <a:ext uri="{FF2B5EF4-FFF2-40B4-BE49-F238E27FC236}">
              <a16:creationId xmlns:a16="http://schemas.microsoft.com/office/drawing/2014/main" id="{F1664C33-1943-2B13-6605-4A8A0188E583}"/>
            </a:ext>
          </a:extLst>
        </xdr:cNvPr>
        <xdr:cNvPicPr>
          <a:picLocks noChangeAspect="1"/>
        </xdr:cNvPicPr>
      </xdr:nvPicPr>
      <xdr:blipFill>
        <a:blip xmlns:r="http://schemas.openxmlformats.org/officeDocument/2006/relationships" r:embed="rId1"/>
        <a:stretch>
          <a:fillRect/>
        </a:stretch>
      </xdr:blipFill>
      <xdr:spPr>
        <a:xfrm>
          <a:off x="793750" y="5683250"/>
          <a:ext cx="5832775" cy="339743"/>
        </a:xfrm>
        <a:prstGeom prst="rect">
          <a:avLst/>
        </a:prstGeom>
      </xdr:spPr>
    </xdr:pic>
    <xdr:clientData/>
  </xdr:twoCellAnchor>
  <xdr:twoCellAnchor editAs="oneCell">
    <xdr:from>
      <xdr:col>1</xdr:col>
      <xdr:colOff>17991</xdr:colOff>
      <xdr:row>35</xdr:row>
      <xdr:rowOff>63156</xdr:rowOff>
    </xdr:from>
    <xdr:to>
      <xdr:col>11</xdr:col>
      <xdr:colOff>55439</xdr:colOff>
      <xdr:row>43</xdr:row>
      <xdr:rowOff>97444</xdr:rowOff>
    </xdr:to>
    <xdr:pic>
      <xdr:nvPicPr>
        <xdr:cNvPr id="3" name="Picture 2">
          <a:extLst>
            <a:ext uri="{FF2B5EF4-FFF2-40B4-BE49-F238E27FC236}">
              <a16:creationId xmlns:a16="http://schemas.microsoft.com/office/drawing/2014/main" id="{745BF4A1-288F-4C6E-19B3-A64307A5C58F}"/>
            </a:ext>
          </a:extLst>
        </xdr:cNvPr>
        <xdr:cNvPicPr>
          <a:picLocks noChangeAspect="1"/>
        </xdr:cNvPicPr>
      </xdr:nvPicPr>
      <xdr:blipFill>
        <a:blip xmlns:r="http://schemas.openxmlformats.org/officeDocument/2006/relationships" r:embed="rId2"/>
        <a:stretch>
          <a:fillRect/>
        </a:stretch>
      </xdr:blipFill>
      <xdr:spPr>
        <a:xfrm>
          <a:off x="811741" y="6360239"/>
          <a:ext cx="7773865" cy="1473622"/>
        </a:xfrm>
        <a:prstGeom prst="rect">
          <a:avLst/>
        </a:prstGeom>
      </xdr:spPr>
    </xdr:pic>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6" xr16:uid="{4EF79F65-DE13-4429-B522-60364C9D8042}" autoFormatId="16" applyNumberFormats="0" applyBorderFormats="0" applyFontFormats="0" applyPatternFormats="0" applyAlignmentFormats="0" applyWidthHeightFormats="0">
  <queryTableRefresh nextId="52">
    <queryTableFields count="14">
      <queryTableField id="39" name="System/Data Subject Area Name" tableColumnId="5"/>
      <queryTableField id="16" name="Schema/Database Name" tableColumnId="16"/>
      <queryTableField id="17" name="Data Set Name" tableColumnId="17"/>
      <queryTableField id="4" name="Column Name" tableColumnId="4"/>
      <queryTableField id="48" name="Data Zone (MDZ/GDZ)" tableColumnId="1"/>
      <queryTableField id="41" name="PII/Non-PII" tableColumnId="7"/>
      <queryTableField id="49" name="CDE/Non-CDE" tableColumnId="2"/>
      <queryTableField id="19" name="Type" tableColumnId="19"/>
      <queryTableField id="20" name="Format" tableColumnId="20"/>
      <queryTableField id="21" name="Length" tableColumnId="21"/>
      <queryTableField id="22" name="Nullable" tableColumnId="22"/>
      <queryTableField id="23" name="Updated Date " tableColumnId="23"/>
      <queryTableField id="11" name="Updated By" tableColumnId="11"/>
      <queryTableField id="12" name="Additional Remarks" tableColumnId="1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7" xr16:uid="{580A8F95-B080-4F13-B598-CB92310F4D76}" autoFormatId="16" applyNumberFormats="0" applyBorderFormats="0" applyFontFormats="0" applyPatternFormats="0" applyAlignmentFormats="0" applyWidthHeightFormats="0">
  <queryTableRefresh nextId="41">
    <queryTableFields count="6">
      <queryTableField id="1" name="Data Set Name" tableColumnId="1"/>
      <queryTableField id="35" name="Data Set Description" tableColumnId="2"/>
      <queryTableField id="36" name="Data Set Update Frequency" tableColumnId="3"/>
      <queryTableField id="37" name="Updated Date" tableColumnId="4"/>
      <queryTableField id="5" name="Updated By" tableColumnId="5"/>
      <queryTableField id="6" name="Additional Remarks" tableColumnId="6"/>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1" xr16:uid="{4BE5D5B7-3188-415D-A2C3-4DBFC0C0E77E}" autoFormatId="16" applyNumberFormats="0" applyBorderFormats="0" applyFontFormats="0" applyPatternFormats="0" applyAlignmentFormats="0" applyWidthHeightFormats="0">
  <queryTableRefresh nextId="39">
    <queryTableFields count="14">
      <queryTableField id="23" name="No." tableColumnId="5"/>
      <queryTableField id="2" name="Business Attribute Name" tableColumnId="2"/>
      <queryTableField id="35" name="Business Definition (EN)" tableColumnId="3"/>
      <queryTableField id="4" name="Column Name" tableColumnId="4"/>
      <queryTableField id="18" name="PII/Non-PII" tableColumnId="14"/>
      <queryTableField id="25" name="CDE/Non-CDE" tableColumnId="13"/>
      <queryTableField id="6" name="List of Allowable Values" tableColumnId="6"/>
      <queryTableField id="7" name="Sample Data" tableColumnId="7"/>
      <queryTableField id="8" name="Business Data Steward" tableColumnId="8"/>
      <queryTableField id="9" name="Data Owner" tableColumnId="9"/>
      <queryTableField id="10" name="Updated Date" tableColumnId="10"/>
      <queryTableField id="11" name="Updated By" tableColumnId="11"/>
      <queryTableField id="28" name="Additional Remarks" tableColumnId="17"/>
      <queryTableField id="21" name="Subdomain" tableColumnId="1"/>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2" xr16:uid="{6A3613F7-9812-498F-899F-F1588CD5C0B4}" autoFormatId="16" applyNumberFormats="0" applyBorderFormats="0" applyFontFormats="0" applyPatternFormats="0" applyAlignmentFormats="0" applyWidthHeightFormats="0">
  <queryTableRefresh nextId="21">
    <queryTableFields count="12">
      <queryTableField id="1" name="No." tableColumnId="1"/>
      <queryTableField id="2" name="Business Attribute Name" tableColumnId="2"/>
      <queryTableField id="19" name="Business Definition (EN)" tableColumnId="3"/>
      <queryTableField id="4" name="Column Name" tableColumnId="4"/>
      <queryTableField id="5" name="PII/Non-PII" tableColumnId="5"/>
      <queryTableField id="6" name="List of Allowable Values" tableColumnId="6"/>
      <queryTableField id="7" name="Sample Data" tableColumnId="7"/>
      <queryTableField id="8" name="Business Data Steward" tableColumnId="8"/>
      <queryTableField id="9" name="Data Owner" tableColumnId="9"/>
      <queryTableField id="10" name="Updated Date" tableColumnId="10"/>
      <queryTableField id="11" name="Updated By" tableColumnId="11"/>
      <queryTableField id="13" name="Subdomain" tableColumnId="13"/>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3" connectionId="3" xr16:uid="{6C5C3B4E-859C-4ECC-95B5-146CAB92A77B}" autoFormatId="16" applyNumberFormats="0" applyBorderFormats="0" applyFontFormats="0" applyPatternFormats="0" applyAlignmentFormats="0" applyWidthHeightFormats="0">
  <queryTableRefresh nextId="31">
    <queryTableFields count="12">
      <queryTableField id="1" name="System/Data Subject Area Name" tableColumnId="1"/>
      <queryTableField id="2" name="Schema/Database Name" tableColumnId="2"/>
      <queryTableField id="3" name="Data Set Name" tableColumnId="3"/>
      <queryTableField id="4" name="Column Name" tableColumnId="4"/>
      <queryTableField id="29" name="Data Zone (MDZ/GDZ)" tableColumnId="5"/>
      <queryTableField id="6" name="PII/Non-PII" tableColumnId="6"/>
      <queryTableField id="7" name="Type" tableColumnId="7"/>
      <queryTableField id="8" name="Format" tableColumnId="8"/>
      <queryTableField id="9" name="Length" tableColumnId="9"/>
      <queryTableField id="10" name="Nullable" tableColumnId="10"/>
      <queryTableField id="11" name="Updated Date " tableColumnId="11"/>
      <queryTableField id="12" name="Updated By" tableColumnId="12"/>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2" connectionId="4" xr16:uid="{0C8F991C-8B20-4E02-98B7-D76C412B5DD8}" autoFormatId="16" applyNumberFormats="0" applyBorderFormats="0" applyFontFormats="0" applyPatternFormats="0" applyAlignmentFormats="0" applyWidthHeightFormats="0">
  <queryTableRefresh nextId="26">
    <queryTableFields count="5">
      <queryTableField id="1" name="Data Set Name" tableColumnId="1"/>
      <queryTableField id="20" name="Data Set Description" tableColumnId="2"/>
      <queryTableField id="21" name="Data Set Update Frequency" tableColumnId="3"/>
      <queryTableField id="22" name="Updated Date" tableColumnId="4"/>
      <queryTableField id="5" name="Updated By" tableColumnId="5"/>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2C89617-6A6C-48B2-A18F-69819A101DEF}" name="Technical_Column" displayName="Technical_Column" ref="A1:N155" tableType="queryTable" totalsRowShown="0">
  <autoFilter ref="A1:N155" xr:uid="{B2C89617-6A6C-48B2-A18F-69819A101DEF}"/>
  <tableColumns count="14">
    <tableColumn id="5" xr3:uid="{36E32CE9-A37F-4608-BAD0-B234EA5E0CBB}" uniqueName="5" name="System/Data Subject Area Name" queryTableFieldId="39"/>
    <tableColumn id="16" xr3:uid="{0FCCFB75-938A-4F87-B906-94D6CF032997}" uniqueName="16" name="Schema/Database Name" queryTableFieldId="16" dataDxfId="40"/>
    <tableColumn id="17" xr3:uid="{94E0B99F-EE7D-4498-895E-C1EB3B9BDFB2}" uniqueName="17" name="Data Set Name" queryTableFieldId="17" dataDxfId="39"/>
    <tableColumn id="4" xr3:uid="{CD90BE9B-50B9-44E6-A298-95650A23774F}" uniqueName="4" name="Column Name" queryTableFieldId="4" dataDxfId="38"/>
    <tableColumn id="1" xr3:uid="{8CD62F43-59F3-4263-94BB-CE725D769597}" uniqueName="1" name="Data Zone (MDZ/GDZ)" queryTableFieldId="48"/>
    <tableColumn id="7" xr3:uid="{A5944C51-1A43-48A2-8D45-B1E16B7E5CCC}" uniqueName="7" name="PII/Non-PII" queryTableFieldId="41"/>
    <tableColumn id="2" xr3:uid="{6BC59C15-EDFD-4E0E-B2AC-932E9BFAA024}" uniqueName="2" name="CDE/Non-CDE" queryTableFieldId="49"/>
    <tableColumn id="19" xr3:uid="{E89DF1BD-DE58-4C52-8939-D10A8323888D}" uniqueName="19" name="Type" queryTableFieldId="19" dataDxfId="37"/>
    <tableColumn id="20" xr3:uid="{7095CE06-74D7-482B-B67B-38A4BD2E8206}" uniqueName="20" name="Format" queryTableFieldId="20" dataDxfId="36"/>
    <tableColumn id="21" xr3:uid="{B2E7F627-A533-40BF-9707-5745D1122425}" uniqueName="21" name="Length" queryTableFieldId="21" dataDxfId="35"/>
    <tableColumn id="22" xr3:uid="{67222C68-1A99-4E05-A3AC-77E45B9BDA27}" uniqueName="22" name="Nullable" queryTableFieldId="22" dataDxfId="34"/>
    <tableColumn id="23" xr3:uid="{2035EC37-EDE4-4395-8E7E-B8565BCFC70E}" uniqueName="23" name="Updated Date " queryTableFieldId="23" dataDxfId="33"/>
    <tableColumn id="11" xr3:uid="{6FE40532-6649-45E2-ABAE-4E1D1F5CDDB2}" uniqueName="11" name="Updated By" queryTableFieldId="11" dataDxfId="32"/>
    <tableColumn id="12" xr3:uid="{95D9328F-8E89-4E9A-96A8-8F797769204D}" uniqueName="12" name="Additional Remarks" queryTableFieldId="12" dataDxfId="3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EB6A5FF-A05C-4907-90B2-AD9685E0ED48}" name="Technical_Data_Set" displayName="Technical_Data_Set" ref="A1:F6" tableType="queryTable" totalsRowShown="0">
  <autoFilter ref="A1:F6" xr:uid="{DEB6A5FF-A05C-4907-90B2-AD9685E0ED48}"/>
  <tableColumns count="6">
    <tableColumn id="1" xr3:uid="{F298B187-25B2-4EC0-AD00-A909C168239F}" uniqueName="1" name="Data Set Name" queryTableFieldId="1" dataDxfId="43"/>
    <tableColumn id="2" xr3:uid="{087866AF-E545-4BA4-BF6F-4CE6BECD1034}" uniqueName="2" name="Data Set Description" queryTableFieldId="35"/>
    <tableColumn id="3" xr3:uid="{CB4E7161-4764-4945-9531-08DBC0C2C835}" uniqueName="3" name="Data Set Update Frequency" queryTableFieldId="36"/>
    <tableColumn id="4" xr3:uid="{0F56E588-23B2-45AC-A702-B3984FD88126}" uniqueName="4" name="Updated Date" queryTableFieldId="37"/>
    <tableColumn id="5" xr3:uid="{0F5411B2-DD1C-4746-B1B1-E2C2597370E4}" uniqueName="5" name="Updated By" queryTableFieldId="5" dataDxfId="42"/>
    <tableColumn id="6" xr3:uid="{1DCF38E4-B898-49B4-ADE9-A34527E10D01}" uniqueName="6" name="Additional Remarks" queryTableFieldId="6" dataDxfId="41"/>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E212E94-A0DA-4CD2-83F8-F96315802B08}" name="Business_Metadata" displayName="Business_Metadata" ref="A1:N155" tableType="queryTable" totalsRowShown="0">
  <autoFilter ref="A1:N155" xr:uid="{EE212E94-A0DA-4CD2-83F8-F96315802B08}"/>
  <tableColumns count="14">
    <tableColumn id="5" xr3:uid="{E9176D78-450A-4F11-A692-276B2843940C}" uniqueName="5" name="No." queryTableFieldId="23"/>
    <tableColumn id="2" xr3:uid="{8EC249F0-6751-4495-A815-D563110FE4C4}" uniqueName="2" name="Business Attribute Name" queryTableFieldId="2" dataDxfId="30"/>
    <tableColumn id="3" xr3:uid="{47B6DF1D-D06D-4149-9A0E-040204C11258}" uniqueName="3" name="Business Definition (EN)" queryTableFieldId="35"/>
    <tableColumn id="4" xr3:uid="{801D6CA5-0502-40C2-A5AD-FD5BC6269806}" uniqueName="4" name="Column Name" queryTableFieldId="4" dataDxfId="29"/>
    <tableColumn id="14" xr3:uid="{E5ED1D59-5E4C-45A3-A287-2DC398B72547}" uniqueName="14" name="PII/Non-PII" queryTableFieldId="18"/>
    <tableColumn id="13" xr3:uid="{DB98D707-9B2A-4B0B-A108-039EB3B067A0}" uniqueName="13" name="CDE/Non-CDE" queryTableFieldId="25"/>
    <tableColumn id="6" xr3:uid="{95882E79-7B27-4D63-A4D5-ED87C4194D1A}" uniqueName="6" name="List of Allowable Values" queryTableFieldId="6" dataDxfId="28"/>
    <tableColumn id="7" xr3:uid="{2BFC474E-0475-49AB-A815-E26ED3F22C7A}" uniqueName="7" name="Sample Data" queryTableFieldId="7"/>
    <tableColumn id="8" xr3:uid="{5B412F6B-26DA-4ACA-9DF0-28C18F822C2D}" uniqueName="8" name="Business Data Steward" queryTableFieldId="8" dataDxfId="27"/>
    <tableColumn id="9" xr3:uid="{CA757349-4828-4595-A776-D59646AB34B3}" uniqueName="9" name="Data Owner" queryTableFieldId="9" dataDxfId="26"/>
    <tableColumn id="10" xr3:uid="{FF510D61-4CAA-4004-94EF-355FB6EF8079}" uniqueName="10" name="Updated Date" queryTableFieldId="10"/>
    <tableColumn id="11" xr3:uid="{AF84A67A-30A9-4894-A080-244599587F18}" uniqueName="11" name="Updated By" queryTableFieldId="11" dataDxfId="25"/>
    <tableColumn id="17" xr3:uid="{666E1C90-CAA4-4C17-A89F-40D4FCB4E8C1}" uniqueName="17" name="Additional Remarks" queryTableFieldId="28"/>
    <tableColumn id="1" xr3:uid="{221C4F22-CE1B-4B19-9251-37B7FF7FAA34}" uniqueName="1" name="Subdomain" queryTableFieldId="21"/>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FB1121E-C215-4A53-93E7-EC4B132BEA74}" name="Calculate_Business_Metadata" displayName="Calculate_Business_Metadata" ref="A1:L155" tableType="queryTable" totalsRowShown="0" headerRowDxfId="45" dataDxfId="44">
  <autoFilter ref="A1:L155" xr:uid="{1FB1121E-C215-4A53-93E7-EC4B132BEA74}"/>
  <tableColumns count="12">
    <tableColumn id="1" xr3:uid="{2999823F-9C27-4967-9331-C9D7D9BB7D42}" uniqueName="1" name="No." queryTableFieldId="1" dataDxfId="24"/>
    <tableColumn id="2" xr3:uid="{DC39EE83-5309-49C9-9FD6-DAB30A22AEB0}" uniqueName="2" name="Business Attribute Name" queryTableFieldId="2" dataDxfId="23"/>
    <tableColumn id="3" xr3:uid="{ECF63A0F-1A2A-4F87-B6B0-1D6C0D08020A}" uniqueName="3" name="Business Definition (EN)" queryTableFieldId="19" dataDxfId="22"/>
    <tableColumn id="4" xr3:uid="{9155680F-C0F7-46F9-8974-EAE9BAA090A3}" uniqueName="4" name="Column Name" queryTableFieldId="4" dataDxfId="21"/>
    <tableColumn id="5" xr3:uid="{92D14AB7-EB39-415D-B60C-7947AD00858C}" uniqueName="5" name="PII/Non-PII" queryTableFieldId="5" dataDxfId="20"/>
    <tableColumn id="6" xr3:uid="{51D83739-9823-4D3F-80E8-2CAFC18011B3}" uniqueName="6" name="List of Allowable Values" queryTableFieldId="6" dataDxfId="19"/>
    <tableColumn id="7" xr3:uid="{4C55288F-EFA8-4E88-983C-67ADBBCDE3B0}" uniqueName="7" name="Sample Data" queryTableFieldId="7" dataDxfId="18"/>
    <tableColumn id="8" xr3:uid="{415BFF71-0B3D-4D0F-B396-79ACC8A8EB53}" uniqueName="8" name="Business Data Steward" queryTableFieldId="8" dataDxfId="17"/>
    <tableColumn id="9" xr3:uid="{B7E7ACD6-0464-438C-9750-CCFB2F0F693B}" uniqueName="9" name="Data Owner" queryTableFieldId="9" dataDxfId="16"/>
    <tableColumn id="10" xr3:uid="{2F450640-CD31-4F8E-AE64-9312A46ED61E}" uniqueName="10" name="Updated Date" queryTableFieldId="10" dataDxfId="15"/>
    <tableColumn id="11" xr3:uid="{94EEFB7A-57B3-42ED-ADD0-A65A6D8BB2F1}" uniqueName="11" name="Updated By" queryTableFieldId="11" dataDxfId="14"/>
    <tableColumn id="13" xr3:uid="{84F510B3-3D9A-4E54-BC9C-43FA5D6D600F}" uniqueName="13" name="Subdomain" queryTableFieldId="13" dataDxfId="13"/>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BD89E98-71F0-4F26-80A1-9298F74898AC}" name="Calculate_Technical_Metadata___Column" displayName="Calculate_Technical_Metadata___Column" ref="A1:L155" tableType="queryTable" totalsRowShown="0">
  <autoFilter ref="A1:L155" xr:uid="{0BD89E98-71F0-4F26-80A1-9298F74898AC}"/>
  <tableColumns count="12">
    <tableColumn id="1" xr3:uid="{DF61C530-746E-4813-BDF2-58016D828B21}" uniqueName="1" name="System/Data Subject Area Name" queryTableFieldId="1" dataDxfId="12"/>
    <tableColumn id="2" xr3:uid="{4406ECDA-ED4F-4CCA-80CA-A6997953F285}" uniqueName="2" name="Schema/Database Name" queryTableFieldId="2" dataDxfId="11"/>
    <tableColumn id="3" xr3:uid="{90A88729-6307-49C3-BAC1-64ADDDA669DE}" uniqueName="3" name="Data Set Name" queryTableFieldId="3" dataDxfId="10"/>
    <tableColumn id="4" xr3:uid="{39F09B3D-9DD7-4E09-A8FB-6C0D8A2C8897}" uniqueName="4" name="Column Name" queryTableFieldId="4" dataDxfId="9"/>
    <tableColumn id="5" xr3:uid="{C22B5186-AF0E-45BB-9E94-2F8023E7C493}" uniqueName="5" name="Data Zone (MDZ/GDZ)" queryTableFieldId="29"/>
    <tableColumn id="6" xr3:uid="{A2F62119-B5D0-4738-AB72-7DA65473367C}" uniqueName="6" name="PII/Non-PII" queryTableFieldId="6" dataDxfId="8"/>
    <tableColumn id="7" xr3:uid="{71F4EE32-25A7-4D3A-A23A-995E107DE078}" uniqueName="7" name="Type" queryTableFieldId="7" dataDxfId="7"/>
    <tableColumn id="8" xr3:uid="{3657C9FA-C0CE-447C-9B7D-6372818B87F1}" uniqueName="8" name="Format" queryTableFieldId="8" dataDxfId="6"/>
    <tableColumn id="9" xr3:uid="{94CA9677-89A7-4576-A75C-AD062BA42085}" uniqueName="9" name="Length" queryTableFieldId="9"/>
    <tableColumn id="10" xr3:uid="{5EA3CB4E-40D6-4262-8A83-8F9D7C576EC4}" uniqueName="10" name="Nullable" queryTableFieldId="10" dataDxfId="5"/>
    <tableColumn id="11" xr3:uid="{E71046AC-AC09-4A29-9C80-1A909E2A9235}" uniqueName="11" name="Updated Date " queryTableFieldId="11" dataDxfId="4"/>
    <tableColumn id="12" xr3:uid="{BF3AC8C1-F245-4B33-B159-B46A3A3E7CD1}" uniqueName="12" name="Updated By" queryTableFieldId="12" dataDxfId="3"/>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2BBCF0F-7052-47C8-939B-6CD065337F4D}" name="Calculate_Technical_Metadata___Data_Set" displayName="Calculate_Technical_Metadata___Data_Set" ref="A1:E6" tableType="queryTable" totalsRowShown="0">
  <autoFilter ref="A1:E6" xr:uid="{92BBCF0F-7052-47C8-939B-6CD065337F4D}"/>
  <sortState xmlns:xlrd2="http://schemas.microsoft.com/office/spreadsheetml/2017/richdata2" ref="A2:E6">
    <sortCondition ref="A1:A6"/>
  </sortState>
  <tableColumns count="5">
    <tableColumn id="1" xr3:uid="{5A724D55-0940-4D80-95F4-8FB74B310A96}" uniqueName="1" name="Data Set Name" queryTableFieldId="1" dataDxfId="2"/>
    <tableColumn id="2" xr3:uid="{5036221A-B09E-4160-848C-E03FF8952C93}" uniqueName="2" name="Data Set Description" queryTableFieldId="20"/>
    <tableColumn id="3" xr3:uid="{C755CAD0-6443-43C7-A6AA-5912FD8F61C6}" uniqueName="3" name="Data Set Update Frequency" queryTableFieldId="21"/>
    <tableColumn id="4" xr3:uid="{55A87FC0-E99A-4123-9F28-87447C5476ED}" uniqueName="4" name="Updated Date" queryTableFieldId="22" dataDxfId="1"/>
    <tableColumn id="5" xr3:uid="{DDFDDDAF-88E3-437C-92E9-85961730B306}" uniqueName="5" name="Updated By" queryTableFieldId="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hyperlink" Target="../../../../../../../:b:/r/sites/Partners/DataX_DGO_CoE/COE/Metadata/Metadata%20Quality%20Metric%20V02.00.00/Metadata%20Quality%20Metric%20Manual%20Setting_V01.00.00.pdf?csf=1&amp;web=1&amp;e=gHQlbt" TargetMode="Externa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4AFAC0-786F-412E-BE14-2E00F0766358}">
  <sheetPr>
    <tabColor rgb="FFFFFF00"/>
  </sheetPr>
  <dimension ref="A7:H18"/>
  <sheetViews>
    <sheetView workbookViewId="0">
      <selection activeCell="D24" sqref="D24"/>
    </sheetView>
  </sheetViews>
  <sheetFormatPr defaultColWidth="8.58203125" defaultRowHeight="14" x14ac:dyDescent="0.3"/>
  <cols>
    <col min="1" max="1" width="8.58203125" style="27"/>
    <col min="2" max="2" width="8.58203125" style="27" customWidth="1"/>
    <col min="3" max="16384" width="8.58203125" style="27"/>
  </cols>
  <sheetData>
    <row r="7" spans="1:8" x14ac:dyDescent="0.3">
      <c r="A7" s="25"/>
      <c r="B7" s="26"/>
      <c r="C7" s="26"/>
      <c r="D7" s="26"/>
      <c r="E7" s="26"/>
      <c r="F7" s="26"/>
      <c r="G7" s="26"/>
      <c r="H7" s="26"/>
    </row>
    <row r="8" spans="1:8" x14ac:dyDescent="0.3">
      <c r="A8" s="75"/>
      <c r="B8" s="76"/>
      <c r="C8" s="76"/>
      <c r="D8" s="76"/>
      <c r="E8" s="76"/>
      <c r="F8" s="76"/>
      <c r="G8" s="76"/>
      <c r="H8" s="76"/>
    </row>
    <row r="9" spans="1:8" x14ac:dyDescent="0.3">
      <c r="A9" s="28"/>
      <c r="B9" s="26" t="s">
        <v>0</v>
      </c>
      <c r="C9" s="26"/>
      <c r="D9" s="26"/>
      <c r="E9" s="26"/>
      <c r="F9" s="26"/>
      <c r="G9" s="26"/>
      <c r="H9" s="26"/>
    </row>
    <row r="10" spans="1:8" ht="17.5" x14ac:dyDescent="0.35">
      <c r="A10" s="29"/>
      <c r="B10" s="30" t="s">
        <v>1</v>
      </c>
      <c r="C10" s="29"/>
      <c r="D10" s="29"/>
      <c r="E10" s="29"/>
      <c r="F10" s="29"/>
      <c r="G10" s="29"/>
      <c r="H10" s="29"/>
    </row>
    <row r="11" spans="1:8" x14ac:dyDescent="0.3">
      <c r="A11" s="26"/>
      <c r="B11" s="31" t="s">
        <v>2</v>
      </c>
      <c r="C11" s="26"/>
      <c r="D11" s="26"/>
      <c r="E11" s="26"/>
      <c r="F11" s="26"/>
      <c r="G11" s="26"/>
      <c r="H11" s="26"/>
    </row>
    <row r="12" spans="1:8" x14ac:dyDescent="0.3">
      <c r="A12" s="26"/>
      <c r="B12" s="26"/>
      <c r="C12" s="26"/>
      <c r="D12" s="26"/>
      <c r="E12" s="26"/>
      <c r="F12" s="26"/>
      <c r="G12" s="26"/>
      <c r="H12" s="26"/>
    </row>
    <row r="13" spans="1:8" ht="15" x14ac:dyDescent="0.3">
      <c r="A13" s="26"/>
      <c r="B13" s="32" t="s">
        <v>3</v>
      </c>
      <c r="C13" s="26"/>
      <c r="D13" s="26"/>
      <c r="E13" s="26"/>
      <c r="F13" s="26"/>
      <c r="G13" s="26"/>
      <c r="H13" s="26"/>
    </row>
    <row r="14" spans="1:8" x14ac:dyDescent="0.3">
      <c r="A14" s="26"/>
      <c r="B14" s="26"/>
      <c r="C14" s="26"/>
      <c r="D14" s="26"/>
      <c r="E14" s="26"/>
      <c r="F14" s="26"/>
      <c r="G14" s="26"/>
      <c r="H14" s="26"/>
    </row>
    <row r="15" spans="1:8" x14ac:dyDescent="0.3">
      <c r="A15" s="26"/>
      <c r="B15" s="26"/>
      <c r="C15" s="26"/>
      <c r="D15" s="26"/>
      <c r="E15" s="26"/>
      <c r="F15" s="26"/>
      <c r="G15" s="26"/>
      <c r="H15" s="26"/>
    </row>
    <row r="16" spans="1:8" x14ac:dyDescent="0.3">
      <c r="A16" s="26"/>
      <c r="B16" s="26"/>
      <c r="C16" s="26"/>
      <c r="D16" s="26"/>
      <c r="E16" s="26"/>
      <c r="F16" s="26"/>
      <c r="G16" s="26"/>
      <c r="H16" s="26"/>
    </row>
    <row r="17" spans="1:8" x14ac:dyDescent="0.3">
      <c r="A17" s="26"/>
      <c r="B17" s="26"/>
      <c r="C17" s="26"/>
      <c r="D17" s="26"/>
      <c r="E17" s="26"/>
      <c r="F17" s="26"/>
      <c r="G17" s="26"/>
      <c r="H17" s="26"/>
    </row>
    <row r="18" spans="1:8" ht="14.15" customHeight="1" x14ac:dyDescent="0.3">
      <c r="A18" s="26"/>
      <c r="B18" s="26"/>
      <c r="C18" s="26"/>
      <c r="D18" s="26"/>
      <c r="E18" s="26"/>
      <c r="F18" s="26"/>
      <c r="G18" s="26"/>
      <c r="H18" s="26"/>
    </row>
  </sheetData>
  <mergeCells count="1">
    <mergeCell ref="A8:H8"/>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4A7F1C-D8D0-4062-B0CE-A482306F94EB}">
  <dimension ref="B2:D14"/>
  <sheetViews>
    <sheetView showGridLines="0" workbookViewId="0">
      <selection activeCell="D2" sqref="D2"/>
    </sheetView>
  </sheetViews>
  <sheetFormatPr defaultRowHeight="14" x14ac:dyDescent="0.3"/>
  <cols>
    <col min="1" max="1" width="3.08203125" customWidth="1"/>
    <col min="2" max="2" width="5.33203125" customWidth="1"/>
    <col min="3" max="3" width="42.58203125" bestFit="1" customWidth="1"/>
    <col min="4" max="4" width="68.58203125" bestFit="1" customWidth="1"/>
  </cols>
  <sheetData>
    <row r="2" spans="2:4" ht="29.5" x14ac:dyDescent="0.55000000000000004">
      <c r="B2" s="67" t="s">
        <v>4</v>
      </c>
    </row>
    <row r="3" spans="2:4" ht="26.15" customHeight="1" x14ac:dyDescent="0.3">
      <c r="B3" s="68" t="s">
        <v>5</v>
      </c>
    </row>
    <row r="4" spans="2:4" ht="15" customHeight="1" x14ac:dyDescent="0.3">
      <c r="B4" s="65"/>
    </row>
    <row r="5" spans="2:4" x14ac:dyDescent="0.3">
      <c r="B5" s="66" t="s">
        <v>6</v>
      </c>
      <c r="C5" s="66" t="s">
        <v>7</v>
      </c>
      <c r="D5" s="66" t="s">
        <v>8</v>
      </c>
    </row>
    <row r="6" spans="2:4" x14ac:dyDescent="0.3">
      <c r="B6" s="66">
        <v>1</v>
      </c>
      <c r="C6" s="66" t="s">
        <v>9</v>
      </c>
      <c r="D6" s="66" t="s">
        <v>10</v>
      </c>
    </row>
    <row r="7" spans="2:4" x14ac:dyDescent="0.3">
      <c r="B7" s="66">
        <v>2</v>
      </c>
      <c r="C7" s="66" t="s">
        <v>11</v>
      </c>
      <c r="D7" s="66" t="s">
        <v>12</v>
      </c>
    </row>
    <row r="8" spans="2:4" x14ac:dyDescent="0.3">
      <c r="B8" s="66">
        <v>3</v>
      </c>
      <c r="C8" s="66" t="s">
        <v>13</v>
      </c>
      <c r="D8" s="66" t="s">
        <v>14</v>
      </c>
    </row>
    <row r="9" spans="2:4" x14ac:dyDescent="0.3">
      <c r="B9" s="66">
        <v>4</v>
      </c>
      <c r="C9" s="66" t="s">
        <v>15</v>
      </c>
      <c r="D9" s="66" t="s">
        <v>16</v>
      </c>
    </row>
    <row r="10" spans="2:4" x14ac:dyDescent="0.3">
      <c r="B10" s="66">
        <v>5</v>
      </c>
      <c r="C10" s="66" t="s">
        <v>17</v>
      </c>
      <c r="D10" s="66" t="s">
        <v>18</v>
      </c>
    </row>
    <row r="11" spans="2:4" x14ac:dyDescent="0.3">
      <c r="B11" s="66">
        <v>6</v>
      </c>
      <c r="C11" s="66" t="s">
        <v>19</v>
      </c>
      <c r="D11" s="66" t="s">
        <v>20</v>
      </c>
    </row>
    <row r="13" spans="2:4" x14ac:dyDescent="0.3">
      <c r="B13" s="77" t="s">
        <v>21</v>
      </c>
      <c r="C13" s="77"/>
    </row>
    <row r="14" spans="2:4" x14ac:dyDescent="0.3">
      <c r="B14" t="s">
        <v>22</v>
      </c>
      <c r="C14" s="69" t="s">
        <v>23</v>
      </c>
    </row>
  </sheetData>
  <mergeCells count="1">
    <mergeCell ref="B13:C13"/>
  </mergeCells>
  <hyperlinks>
    <hyperlink ref="C14" r:id="rId1" xr:uid="{AF8846BA-5AFC-401B-AE11-172A3AB71820}"/>
  </hyperlinks>
  <pageMargins left="0.7" right="0.7" top="0.75" bottom="0.75" header="0.3" footer="0.3"/>
  <pageSetup paperSize="9"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5AADE-D922-4E7D-896D-2B317ECE6D6C}">
  <dimension ref="A1:N155"/>
  <sheetViews>
    <sheetView workbookViewId="0"/>
  </sheetViews>
  <sheetFormatPr defaultRowHeight="14" x14ac:dyDescent="0.3"/>
  <cols>
    <col min="1" max="5" width="19.5" bestFit="1" customWidth="1"/>
    <col min="6" max="6" width="14.9140625" bestFit="1" customWidth="1"/>
    <col min="7" max="7" width="16.58203125" bestFit="1" customWidth="1"/>
    <col min="8" max="8" width="7.83203125" bestFit="1" customWidth="1"/>
    <col min="9" max="9" width="12.6640625" bestFit="1" customWidth="1"/>
    <col min="10" max="10" width="9.6640625" bestFit="1" customWidth="1"/>
    <col min="11" max="11" width="11.1640625" bestFit="1" customWidth="1"/>
    <col min="12" max="12" width="16.58203125" bestFit="1" customWidth="1"/>
    <col min="13" max="13" width="14.9140625" bestFit="1" customWidth="1"/>
    <col min="14" max="14" width="19.5" bestFit="1" customWidth="1"/>
    <col min="15" max="15" width="21.75" bestFit="1" customWidth="1"/>
    <col min="16" max="16" width="80.58203125" bestFit="1" customWidth="1"/>
    <col min="17" max="17" width="10.25" bestFit="1" customWidth="1"/>
    <col min="18" max="18" width="16.5" bestFit="1" customWidth="1"/>
    <col min="19" max="19" width="20.33203125" bestFit="1" customWidth="1"/>
    <col min="20" max="20" width="80.58203125" bestFit="1" customWidth="1"/>
    <col min="21" max="21" width="16.5" bestFit="1" customWidth="1"/>
    <col min="22" max="22" width="20.33203125" bestFit="1" customWidth="1"/>
    <col min="23" max="23" width="30.75" bestFit="1" customWidth="1"/>
    <col min="24" max="24" width="14.83203125" bestFit="1" customWidth="1"/>
    <col min="25" max="25" width="28" bestFit="1" customWidth="1"/>
    <col min="26" max="26" width="80.58203125" bestFit="1" customWidth="1"/>
    <col min="27" max="27" width="25.08203125" bestFit="1" customWidth="1"/>
    <col min="28" max="28" width="14.58203125" bestFit="1" customWidth="1"/>
    <col min="29" max="29" width="16" bestFit="1" customWidth="1"/>
    <col min="30" max="30" width="20.33203125" bestFit="1" customWidth="1"/>
    <col min="31" max="31" width="62.08203125" bestFit="1" customWidth="1"/>
    <col min="32" max="32" width="30.75" bestFit="1" customWidth="1"/>
    <col min="33" max="33" width="18.08203125" bestFit="1" customWidth="1"/>
  </cols>
  <sheetData>
    <row r="1" spans="1:14" x14ac:dyDescent="0.3">
      <c r="A1" t="s">
        <v>24</v>
      </c>
      <c r="B1" t="s">
        <v>25</v>
      </c>
      <c r="C1" t="s">
        <v>26</v>
      </c>
      <c r="D1" t="s">
        <v>27</v>
      </c>
      <c r="E1" t="s">
        <v>28</v>
      </c>
      <c r="F1" t="s">
        <v>29</v>
      </c>
      <c r="G1" t="s">
        <v>30</v>
      </c>
      <c r="H1" t="s">
        <v>31</v>
      </c>
      <c r="I1" t="s">
        <v>32</v>
      </c>
      <c r="J1" t="s">
        <v>33</v>
      </c>
      <c r="K1" t="s">
        <v>34</v>
      </c>
      <c r="L1" t="s">
        <v>35</v>
      </c>
      <c r="M1" t="s">
        <v>36</v>
      </c>
      <c r="N1" t="s">
        <v>37</v>
      </c>
    </row>
    <row r="2" spans="1:14" x14ac:dyDescent="0.3">
      <c r="A2" t="s">
        <v>38</v>
      </c>
      <c r="B2" s="73" t="s">
        <v>39</v>
      </c>
      <c r="C2" s="73" t="s">
        <v>40</v>
      </c>
      <c r="D2" s="73" t="s">
        <v>41</v>
      </c>
      <c r="E2" t="s">
        <v>42</v>
      </c>
      <c r="F2" t="s">
        <v>43</v>
      </c>
      <c r="G2" t="s">
        <v>44</v>
      </c>
      <c r="H2" s="73" t="s">
        <v>45</v>
      </c>
      <c r="I2" s="73" t="s">
        <v>46</v>
      </c>
      <c r="J2" s="73" t="s">
        <v>47</v>
      </c>
      <c r="K2" s="73" t="s">
        <v>48</v>
      </c>
      <c r="L2" s="73">
        <v>45300</v>
      </c>
      <c r="M2" s="73" t="s">
        <v>49</v>
      </c>
      <c r="N2" s="73" t="s">
        <v>47</v>
      </c>
    </row>
    <row r="3" spans="1:14" x14ac:dyDescent="0.3">
      <c r="A3" t="s">
        <v>38</v>
      </c>
      <c r="B3" s="73" t="s">
        <v>39</v>
      </c>
      <c r="C3" s="73" t="s">
        <v>40</v>
      </c>
      <c r="D3" s="73" t="s">
        <v>50</v>
      </c>
      <c r="E3" t="s">
        <v>42</v>
      </c>
      <c r="F3" t="s">
        <v>43</v>
      </c>
      <c r="G3" t="s">
        <v>44</v>
      </c>
      <c r="H3" s="73" t="s">
        <v>45</v>
      </c>
      <c r="I3" s="73" t="s">
        <v>46</v>
      </c>
      <c r="J3" s="73" t="s">
        <v>51</v>
      </c>
      <c r="K3" s="73" t="s">
        <v>52</v>
      </c>
      <c r="L3" s="73">
        <v>45300</v>
      </c>
      <c r="M3" s="73" t="s">
        <v>49</v>
      </c>
      <c r="N3" s="73" t="s">
        <v>47</v>
      </c>
    </row>
    <row r="4" spans="1:14" x14ac:dyDescent="0.3">
      <c r="A4" t="s">
        <v>38</v>
      </c>
      <c r="B4" s="73" t="s">
        <v>39</v>
      </c>
      <c r="C4" s="73" t="s">
        <v>40</v>
      </c>
      <c r="D4" s="73" t="s">
        <v>53</v>
      </c>
      <c r="E4" t="s">
        <v>42</v>
      </c>
      <c r="F4" t="s">
        <v>54</v>
      </c>
      <c r="G4" t="s">
        <v>44</v>
      </c>
      <c r="H4" s="73" t="s">
        <v>45</v>
      </c>
      <c r="I4" s="73" t="s">
        <v>55</v>
      </c>
      <c r="J4" s="73" t="s">
        <v>56</v>
      </c>
      <c r="K4" s="73" t="s">
        <v>48</v>
      </c>
      <c r="L4" s="73">
        <v>45264</v>
      </c>
      <c r="M4" s="73" t="s">
        <v>57</v>
      </c>
      <c r="N4" s="73" t="s">
        <v>47</v>
      </c>
    </row>
    <row r="5" spans="1:14" x14ac:dyDescent="0.3">
      <c r="A5" t="s">
        <v>38</v>
      </c>
      <c r="B5" s="73" t="s">
        <v>39</v>
      </c>
      <c r="C5" s="73" t="s">
        <v>40</v>
      </c>
      <c r="D5" s="73" t="s">
        <v>58</v>
      </c>
      <c r="E5" t="s">
        <v>42</v>
      </c>
      <c r="F5" t="s">
        <v>43</v>
      </c>
      <c r="G5" t="s">
        <v>44</v>
      </c>
      <c r="H5" s="73" t="s">
        <v>59</v>
      </c>
      <c r="I5" s="73" t="s">
        <v>60</v>
      </c>
      <c r="J5" s="73" t="s">
        <v>47</v>
      </c>
      <c r="K5" s="73" t="s">
        <v>52</v>
      </c>
      <c r="L5" s="73">
        <v>45264</v>
      </c>
      <c r="M5" s="73" t="s">
        <v>57</v>
      </c>
      <c r="N5" s="73" t="s">
        <v>47</v>
      </c>
    </row>
    <row r="6" spans="1:14" x14ac:dyDescent="0.3">
      <c r="A6" t="s">
        <v>38</v>
      </c>
      <c r="B6" s="73" t="s">
        <v>39</v>
      </c>
      <c r="C6" s="73" t="s">
        <v>40</v>
      </c>
      <c r="D6" s="73" t="s">
        <v>61</v>
      </c>
      <c r="E6" t="s">
        <v>42</v>
      </c>
      <c r="F6" t="s">
        <v>43</v>
      </c>
      <c r="G6" t="s">
        <v>44</v>
      </c>
      <c r="H6" s="73" t="s">
        <v>45</v>
      </c>
      <c r="I6" s="73" t="s">
        <v>46</v>
      </c>
      <c r="J6" s="73" t="s">
        <v>62</v>
      </c>
      <c r="K6" s="73" t="s">
        <v>52</v>
      </c>
      <c r="L6" s="73">
        <v>45300</v>
      </c>
      <c r="M6" s="73" t="s">
        <v>49</v>
      </c>
      <c r="N6" s="73" t="s">
        <v>47</v>
      </c>
    </row>
    <row r="7" spans="1:14" x14ac:dyDescent="0.3">
      <c r="A7" t="s">
        <v>38</v>
      </c>
      <c r="B7" s="73" t="s">
        <v>39</v>
      </c>
      <c r="C7" s="73" t="s">
        <v>40</v>
      </c>
      <c r="D7" s="73" t="s">
        <v>63</v>
      </c>
      <c r="E7" t="s">
        <v>42</v>
      </c>
      <c r="F7" t="s">
        <v>54</v>
      </c>
      <c r="G7" t="s">
        <v>44</v>
      </c>
      <c r="H7" s="73" t="s">
        <v>59</v>
      </c>
      <c r="I7" s="73" t="s">
        <v>60</v>
      </c>
      <c r="J7" s="73" t="s">
        <v>47</v>
      </c>
      <c r="K7" s="73" t="s">
        <v>52</v>
      </c>
      <c r="L7" s="73">
        <v>45264</v>
      </c>
      <c r="M7" s="73" t="s">
        <v>57</v>
      </c>
      <c r="N7" s="73" t="s">
        <v>47</v>
      </c>
    </row>
    <row r="8" spans="1:14" x14ac:dyDescent="0.3">
      <c r="A8" t="s">
        <v>38</v>
      </c>
      <c r="B8" s="73" t="s">
        <v>39</v>
      </c>
      <c r="C8" s="73" t="s">
        <v>40</v>
      </c>
      <c r="D8" s="73" t="s">
        <v>64</v>
      </c>
      <c r="E8" t="s">
        <v>42</v>
      </c>
      <c r="F8" t="s">
        <v>43</v>
      </c>
      <c r="G8" t="s">
        <v>44</v>
      </c>
      <c r="H8" s="73" t="s">
        <v>45</v>
      </c>
      <c r="I8" s="73" t="s">
        <v>46</v>
      </c>
      <c r="J8" s="73" t="s">
        <v>51</v>
      </c>
      <c r="K8" s="73" t="s">
        <v>48</v>
      </c>
      <c r="L8" s="73">
        <v>45264</v>
      </c>
      <c r="M8" s="73" t="s">
        <v>57</v>
      </c>
      <c r="N8" s="73" t="s">
        <v>47</v>
      </c>
    </row>
    <row r="9" spans="1:14" x14ac:dyDescent="0.3">
      <c r="A9" t="s">
        <v>38</v>
      </c>
      <c r="B9" s="73" t="s">
        <v>39</v>
      </c>
      <c r="C9" s="73" t="s">
        <v>40</v>
      </c>
      <c r="D9" s="73" t="s">
        <v>65</v>
      </c>
      <c r="E9" t="s">
        <v>42</v>
      </c>
      <c r="F9" t="s">
        <v>54</v>
      </c>
      <c r="G9" t="s">
        <v>44</v>
      </c>
      <c r="H9" s="73" t="s">
        <v>45</v>
      </c>
      <c r="I9" s="73" t="s">
        <v>55</v>
      </c>
      <c r="J9" s="73" t="s">
        <v>66</v>
      </c>
      <c r="K9" s="73" t="s">
        <v>52</v>
      </c>
      <c r="L9" s="73">
        <v>45300</v>
      </c>
      <c r="M9" s="73" t="s">
        <v>49</v>
      </c>
      <c r="N9" s="73" t="s">
        <v>47</v>
      </c>
    </row>
    <row r="10" spans="1:14" x14ac:dyDescent="0.3">
      <c r="A10" t="s">
        <v>38</v>
      </c>
      <c r="B10" s="73" t="s">
        <v>39</v>
      </c>
      <c r="C10" s="73" t="s">
        <v>40</v>
      </c>
      <c r="D10" s="73" t="s">
        <v>67</v>
      </c>
      <c r="E10" t="s">
        <v>42</v>
      </c>
      <c r="F10" t="s">
        <v>54</v>
      </c>
      <c r="G10" t="s">
        <v>68</v>
      </c>
      <c r="H10" s="73" t="s">
        <v>45</v>
      </c>
      <c r="I10" s="73" t="s">
        <v>55</v>
      </c>
      <c r="J10" s="73" t="s">
        <v>66</v>
      </c>
      <c r="K10" s="73" t="s">
        <v>52</v>
      </c>
      <c r="L10" s="73">
        <v>45264</v>
      </c>
      <c r="M10" s="73" t="s">
        <v>57</v>
      </c>
      <c r="N10" s="73" t="s">
        <v>47</v>
      </c>
    </row>
    <row r="11" spans="1:14" x14ac:dyDescent="0.3">
      <c r="A11" t="s">
        <v>38</v>
      </c>
      <c r="B11" s="73" t="s">
        <v>39</v>
      </c>
      <c r="C11" s="73" t="s">
        <v>40</v>
      </c>
      <c r="D11" s="73" t="s">
        <v>69</v>
      </c>
      <c r="E11" t="s">
        <v>42</v>
      </c>
      <c r="F11" t="s">
        <v>54</v>
      </c>
      <c r="G11" t="s">
        <v>68</v>
      </c>
      <c r="H11" s="73" t="s">
        <v>45</v>
      </c>
      <c r="I11" s="73" t="s">
        <v>55</v>
      </c>
      <c r="J11" s="73" t="s">
        <v>47</v>
      </c>
      <c r="K11" s="73" t="s">
        <v>52</v>
      </c>
      <c r="L11" s="73">
        <v>45264</v>
      </c>
      <c r="M11" s="73" t="s">
        <v>57</v>
      </c>
      <c r="N11" s="73" t="s">
        <v>47</v>
      </c>
    </row>
    <row r="12" spans="1:14" x14ac:dyDescent="0.3">
      <c r="A12" t="s">
        <v>38</v>
      </c>
      <c r="B12" s="73" t="s">
        <v>39</v>
      </c>
      <c r="C12" s="73" t="s">
        <v>40</v>
      </c>
      <c r="D12" s="73" t="s">
        <v>70</v>
      </c>
      <c r="E12" t="s">
        <v>42</v>
      </c>
      <c r="F12" t="s">
        <v>54</v>
      </c>
      <c r="G12" t="s">
        <v>68</v>
      </c>
      <c r="H12" s="73" t="s">
        <v>45</v>
      </c>
      <c r="I12" s="73" t="s">
        <v>55</v>
      </c>
      <c r="J12" s="73" t="s">
        <v>47</v>
      </c>
      <c r="K12" s="73" t="s">
        <v>52</v>
      </c>
      <c r="L12" s="73">
        <v>45264</v>
      </c>
      <c r="M12" s="73" t="s">
        <v>57</v>
      </c>
      <c r="N12" s="73" t="s">
        <v>47</v>
      </c>
    </row>
    <row r="13" spans="1:14" x14ac:dyDescent="0.3">
      <c r="A13" t="s">
        <v>38</v>
      </c>
      <c r="B13" s="73" t="s">
        <v>39</v>
      </c>
      <c r="C13" s="73" t="s">
        <v>40</v>
      </c>
      <c r="D13" s="73" t="s">
        <v>71</v>
      </c>
      <c r="E13" t="s">
        <v>42</v>
      </c>
      <c r="F13" t="s">
        <v>54</v>
      </c>
      <c r="G13" t="s">
        <v>68</v>
      </c>
      <c r="H13" s="73" t="s">
        <v>45</v>
      </c>
      <c r="I13" s="73" t="s">
        <v>55</v>
      </c>
      <c r="J13" s="73" t="s">
        <v>47</v>
      </c>
      <c r="K13" s="73" t="s">
        <v>52</v>
      </c>
      <c r="L13" s="73">
        <v>45264</v>
      </c>
      <c r="M13" s="73" t="s">
        <v>57</v>
      </c>
      <c r="N13" s="73" t="s">
        <v>47</v>
      </c>
    </row>
    <row r="14" spans="1:14" x14ac:dyDescent="0.3">
      <c r="A14" t="s">
        <v>38</v>
      </c>
      <c r="B14" s="73" t="s">
        <v>39</v>
      </c>
      <c r="C14" s="73" t="s">
        <v>40</v>
      </c>
      <c r="D14" s="73" t="s">
        <v>72</v>
      </c>
      <c r="E14" t="s">
        <v>42</v>
      </c>
      <c r="F14" t="s">
        <v>54</v>
      </c>
      <c r="G14" t="s">
        <v>68</v>
      </c>
      <c r="H14" s="73" t="s">
        <v>45</v>
      </c>
      <c r="I14" s="73" t="s">
        <v>55</v>
      </c>
      <c r="J14" s="73" t="s">
        <v>47</v>
      </c>
      <c r="K14" s="73" t="s">
        <v>52</v>
      </c>
      <c r="L14" s="73">
        <v>45264</v>
      </c>
      <c r="M14" s="73" t="s">
        <v>57</v>
      </c>
      <c r="N14" s="73" t="s">
        <v>47</v>
      </c>
    </row>
    <row r="15" spans="1:14" x14ac:dyDescent="0.3">
      <c r="A15" t="s">
        <v>38</v>
      </c>
      <c r="B15" s="73" t="s">
        <v>39</v>
      </c>
      <c r="C15" s="73" t="s">
        <v>40</v>
      </c>
      <c r="D15" s="73" t="s">
        <v>73</v>
      </c>
      <c r="E15" t="s">
        <v>42</v>
      </c>
      <c r="F15" t="s">
        <v>54</v>
      </c>
      <c r="G15" t="s">
        <v>68</v>
      </c>
      <c r="H15" s="73" t="s">
        <v>45</v>
      </c>
      <c r="I15" s="73" t="s">
        <v>55</v>
      </c>
      <c r="J15" s="73" t="s">
        <v>47</v>
      </c>
      <c r="K15" s="73" t="s">
        <v>52</v>
      </c>
      <c r="L15" s="73">
        <v>45264</v>
      </c>
      <c r="M15" s="73" t="s">
        <v>57</v>
      </c>
      <c r="N15" s="73" t="s">
        <v>47</v>
      </c>
    </row>
    <row r="16" spans="1:14" x14ac:dyDescent="0.3">
      <c r="A16" t="s">
        <v>38</v>
      </c>
      <c r="B16" s="73" t="s">
        <v>39</v>
      </c>
      <c r="C16" s="73" t="s">
        <v>40</v>
      </c>
      <c r="D16" s="73" t="s">
        <v>74</v>
      </c>
      <c r="E16" t="s">
        <v>42</v>
      </c>
      <c r="F16" t="s">
        <v>43</v>
      </c>
      <c r="G16" t="s">
        <v>44</v>
      </c>
      <c r="H16" s="73" t="s">
        <v>45</v>
      </c>
      <c r="I16" s="73" t="s">
        <v>46</v>
      </c>
      <c r="J16" s="73" t="s">
        <v>47</v>
      </c>
      <c r="K16" s="73" t="s">
        <v>48</v>
      </c>
      <c r="L16" s="73">
        <v>45264</v>
      </c>
      <c r="M16" s="73" t="s">
        <v>57</v>
      </c>
      <c r="N16" s="73" t="s">
        <v>47</v>
      </c>
    </row>
    <row r="17" spans="1:14" x14ac:dyDescent="0.3">
      <c r="A17" t="s">
        <v>38</v>
      </c>
      <c r="B17" s="73" t="s">
        <v>39</v>
      </c>
      <c r="C17" s="73" t="s">
        <v>40</v>
      </c>
      <c r="D17" s="73" t="s">
        <v>75</v>
      </c>
      <c r="E17" t="s">
        <v>42</v>
      </c>
      <c r="F17" t="s">
        <v>43</v>
      </c>
      <c r="G17" t="s">
        <v>44</v>
      </c>
      <c r="H17" s="73" t="s">
        <v>76</v>
      </c>
      <c r="I17" s="73" t="s">
        <v>77</v>
      </c>
      <c r="J17" s="73" t="s">
        <v>78</v>
      </c>
      <c r="K17" s="73" t="s">
        <v>52</v>
      </c>
      <c r="L17" s="73">
        <v>45264</v>
      </c>
      <c r="M17" s="73" t="s">
        <v>57</v>
      </c>
      <c r="N17" s="73" t="s">
        <v>47</v>
      </c>
    </row>
    <row r="18" spans="1:14" x14ac:dyDescent="0.3">
      <c r="A18" t="s">
        <v>38</v>
      </c>
      <c r="B18" s="73" t="s">
        <v>39</v>
      </c>
      <c r="C18" s="73" t="s">
        <v>40</v>
      </c>
      <c r="D18" s="73" t="s">
        <v>79</v>
      </c>
      <c r="E18" t="s">
        <v>42</v>
      </c>
      <c r="F18" t="s">
        <v>43</v>
      </c>
      <c r="G18" t="s">
        <v>44</v>
      </c>
      <c r="H18" s="73" t="s">
        <v>45</v>
      </c>
      <c r="I18" s="73" t="s">
        <v>46</v>
      </c>
      <c r="J18" s="73" t="s">
        <v>47</v>
      </c>
      <c r="K18" s="73" t="s">
        <v>52</v>
      </c>
      <c r="L18" s="73">
        <v>45264</v>
      </c>
      <c r="M18" s="73" t="s">
        <v>57</v>
      </c>
      <c r="N18" s="73" t="s">
        <v>47</v>
      </c>
    </row>
    <row r="19" spans="1:14" x14ac:dyDescent="0.3">
      <c r="A19" t="s">
        <v>38</v>
      </c>
      <c r="B19" s="73" t="s">
        <v>39</v>
      </c>
      <c r="C19" s="73" t="s">
        <v>40</v>
      </c>
      <c r="D19" s="73" t="s">
        <v>80</v>
      </c>
      <c r="E19" t="s">
        <v>42</v>
      </c>
      <c r="F19" t="s">
        <v>43</v>
      </c>
      <c r="G19" t="s">
        <v>44</v>
      </c>
      <c r="H19" s="73" t="s">
        <v>76</v>
      </c>
      <c r="I19" s="73" t="s">
        <v>55</v>
      </c>
      <c r="J19" s="73" t="s">
        <v>78</v>
      </c>
      <c r="K19" s="73" t="s">
        <v>52</v>
      </c>
      <c r="L19" s="73">
        <v>45264</v>
      </c>
      <c r="M19" s="73" t="s">
        <v>57</v>
      </c>
      <c r="N19" s="73" t="s">
        <v>47</v>
      </c>
    </row>
    <row r="20" spans="1:14" x14ac:dyDescent="0.3">
      <c r="A20" t="s">
        <v>38</v>
      </c>
      <c r="B20" s="73" t="s">
        <v>39</v>
      </c>
      <c r="C20" s="73" t="s">
        <v>40</v>
      </c>
      <c r="D20" s="73" t="s">
        <v>81</v>
      </c>
      <c r="E20" t="s">
        <v>42</v>
      </c>
      <c r="F20" t="s">
        <v>43</v>
      </c>
      <c r="G20" t="s">
        <v>44</v>
      </c>
      <c r="H20" s="73" t="s">
        <v>45</v>
      </c>
      <c r="I20" s="73" t="s">
        <v>46</v>
      </c>
      <c r="J20" s="73" t="s">
        <v>47</v>
      </c>
      <c r="K20" s="73" t="s">
        <v>52</v>
      </c>
      <c r="L20" s="73">
        <v>45264</v>
      </c>
      <c r="M20" s="73" t="s">
        <v>57</v>
      </c>
      <c r="N20" s="73" t="s">
        <v>47</v>
      </c>
    </row>
    <row r="21" spans="1:14" x14ac:dyDescent="0.3">
      <c r="A21" t="s">
        <v>38</v>
      </c>
      <c r="B21" s="73" t="s">
        <v>39</v>
      </c>
      <c r="C21" s="73" t="s">
        <v>40</v>
      </c>
      <c r="D21" s="73" t="s">
        <v>82</v>
      </c>
      <c r="E21" t="s">
        <v>42</v>
      </c>
      <c r="F21" t="s">
        <v>43</v>
      </c>
      <c r="G21" t="s">
        <v>44</v>
      </c>
      <c r="H21" s="73" t="s">
        <v>45</v>
      </c>
      <c r="I21" s="73" t="s">
        <v>46</v>
      </c>
      <c r="J21" s="73" t="s">
        <v>47</v>
      </c>
      <c r="K21" s="73" t="s">
        <v>52</v>
      </c>
      <c r="L21" s="73">
        <v>45264</v>
      </c>
      <c r="M21" s="73" t="s">
        <v>57</v>
      </c>
      <c r="N21" s="73" t="s">
        <v>47</v>
      </c>
    </row>
    <row r="22" spans="1:14" x14ac:dyDescent="0.3">
      <c r="A22" t="s">
        <v>38</v>
      </c>
      <c r="B22" s="73" t="s">
        <v>39</v>
      </c>
      <c r="C22" s="73" t="s">
        <v>40</v>
      </c>
      <c r="D22" s="73" t="s">
        <v>83</v>
      </c>
      <c r="E22" t="s">
        <v>42</v>
      </c>
      <c r="F22" t="s">
        <v>43</v>
      </c>
      <c r="G22" t="s">
        <v>44</v>
      </c>
      <c r="H22" s="73" t="s">
        <v>45</v>
      </c>
      <c r="I22" s="73" t="s">
        <v>46</v>
      </c>
      <c r="J22" s="73" t="s">
        <v>47</v>
      </c>
      <c r="K22" s="73" t="s">
        <v>52</v>
      </c>
      <c r="L22" s="73">
        <v>45264</v>
      </c>
      <c r="M22" s="73" t="s">
        <v>57</v>
      </c>
      <c r="N22" s="73" t="s">
        <v>47</v>
      </c>
    </row>
    <row r="23" spans="1:14" x14ac:dyDescent="0.3">
      <c r="A23" t="s">
        <v>38</v>
      </c>
      <c r="B23" s="73" t="s">
        <v>39</v>
      </c>
      <c r="C23" s="73" t="s">
        <v>40</v>
      </c>
      <c r="D23" s="73" t="s">
        <v>84</v>
      </c>
      <c r="E23" t="s">
        <v>42</v>
      </c>
      <c r="F23" t="s">
        <v>54</v>
      </c>
      <c r="G23" t="s">
        <v>44</v>
      </c>
      <c r="H23" s="73" t="s">
        <v>45</v>
      </c>
      <c r="I23" s="73" t="s">
        <v>46</v>
      </c>
      <c r="J23" s="73" t="s">
        <v>85</v>
      </c>
      <c r="K23" s="73" t="s">
        <v>52</v>
      </c>
      <c r="L23" s="73">
        <v>45264</v>
      </c>
      <c r="M23" s="73" t="s">
        <v>57</v>
      </c>
      <c r="N23" s="73" t="s">
        <v>47</v>
      </c>
    </row>
    <row r="24" spans="1:14" x14ac:dyDescent="0.3">
      <c r="A24" t="s">
        <v>38</v>
      </c>
      <c r="B24" s="73" t="s">
        <v>39</v>
      </c>
      <c r="C24" s="73" t="s">
        <v>40</v>
      </c>
      <c r="D24" s="73" t="s">
        <v>86</v>
      </c>
      <c r="E24" t="s">
        <v>42</v>
      </c>
      <c r="F24" t="s">
        <v>43</v>
      </c>
      <c r="G24" t="s">
        <v>44</v>
      </c>
      <c r="H24" s="73" t="s">
        <v>45</v>
      </c>
      <c r="I24" s="73" t="s">
        <v>46</v>
      </c>
      <c r="J24" s="73" t="s">
        <v>47</v>
      </c>
      <c r="K24" s="73" t="s">
        <v>52</v>
      </c>
      <c r="L24" s="73">
        <v>45264</v>
      </c>
      <c r="M24" s="73" t="s">
        <v>57</v>
      </c>
      <c r="N24" s="73" t="s">
        <v>47</v>
      </c>
    </row>
    <row r="25" spans="1:14" x14ac:dyDescent="0.3">
      <c r="A25" t="s">
        <v>38</v>
      </c>
      <c r="B25" s="73" t="s">
        <v>39</v>
      </c>
      <c r="C25" s="73" t="s">
        <v>40</v>
      </c>
      <c r="D25" s="73" t="s">
        <v>87</v>
      </c>
      <c r="E25" t="s">
        <v>42</v>
      </c>
      <c r="F25" t="s">
        <v>54</v>
      </c>
      <c r="G25" t="s">
        <v>44</v>
      </c>
      <c r="H25" s="73" t="s">
        <v>45</v>
      </c>
      <c r="I25" s="73" t="s">
        <v>46</v>
      </c>
      <c r="J25" s="73" t="s">
        <v>47</v>
      </c>
      <c r="K25" s="73" t="s">
        <v>52</v>
      </c>
      <c r="L25" s="73">
        <v>45264</v>
      </c>
      <c r="M25" s="73" t="s">
        <v>57</v>
      </c>
      <c r="N25" s="73" t="s">
        <v>47</v>
      </c>
    </row>
    <row r="26" spans="1:14" x14ac:dyDescent="0.3">
      <c r="A26" t="s">
        <v>38</v>
      </c>
      <c r="B26" s="73" t="s">
        <v>39</v>
      </c>
      <c r="C26" s="73" t="s">
        <v>40</v>
      </c>
      <c r="D26" s="73" t="s">
        <v>88</v>
      </c>
      <c r="E26" t="s">
        <v>42</v>
      </c>
      <c r="F26" t="s">
        <v>43</v>
      </c>
      <c r="G26" t="s">
        <v>44</v>
      </c>
      <c r="H26" s="73" t="s">
        <v>346</v>
      </c>
      <c r="I26" s="73" t="s">
        <v>89</v>
      </c>
      <c r="J26" s="73" t="s">
        <v>90</v>
      </c>
      <c r="K26" s="73" t="s">
        <v>52</v>
      </c>
      <c r="L26" s="73">
        <v>45300</v>
      </c>
      <c r="M26" s="73" t="s">
        <v>49</v>
      </c>
      <c r="N26" s="73" t="s">
        <v>47</v>
      </c>
    </row>
    <row r="27" spans="1:14" x14ac:dyDescent="0.3">
      <c r="A27" t="s">
        <v>38</v>
      </c>
      <c r="B27" s="73" t="s">
        <v>39</v>
      </c>
      <c r="C27" s="73" t="s">
        <v>40</v>
      </c>
      <c r="D27" s="73" t="s">
        <v>91</v>
      </c>
      <c r="E27" t="s">
        <v>42</v>
      </c>
      <c r="F27" t="s">
        <v>43</v>
      </c>
      <c r="G27" t="s">
        <v>68</v>
      </c>
      <c r="H27" s="73" t="s">
        <v>45</v>
      </c>
      <c r="I27" s="73" t="s">
        <v>92</v>
      </c>
      <c r="J27" s="73" t="s">
        <v>47</v>
      </c>
      <c r="K27" s="73" t="s">
        <v>52</v>
      </c>
      <c r="L27" s="73">
        <v>45264</v>
      </c>
      <c r="M27" s="73" t="s">
        <v>57</v>
      </c>
      <c r="N27" s="73" t="s">
        <v>47</v>
      </c>
    </row>
    <row r="28" spans="1:14" x14ac:dyDescent="0.3">
      <c r="A28" t="s">
        <v>38</v>
      </c>
      <c r="B28" s="73" t="s">
        <v>39</v>
      </c>
      <c r="C28" s="73" t="s">
        <v>40</v>
      </c>
      <c r="D28" s="73" t="s">
        <v>93</v>
      </c>
      <c r="E28" t="s">
        <v>42</v>
      </c>
      <c r="F28" t="s">
        <v>43</v>
      </c>
      <c r="G28" t="s">
        <v>44</v>
      </c>
      <c r="H28" s="73" t="s">
        <v>346</v>
      </c>
      <c r="I28" s="73" t="s">
        <v>89</v>
      </c>
      <c r="J28" s="73" t="s">
        <v>90</v>
      </c>
      <c r="K28" s="73" t="s">
        <v>52</v>
      </c>
      <c r="L28" s="73">
        <v>45300</v>
      </c>
      <c r="M28" s="73" t="s">
        <v>49</v>
      </c>
      <c r="N28" s="73" t="s">
        <v>47</v>
      </c>
    </row>
    <row r="29" spans="1:14" x14ac:dyDescent="0.3">
      <c r="A29" t="s">
        <v>38</v>
      </c>
      <c r="B29" s="73" t="s">
        <v>39</v>
      </c>
      <c r="C29" s="73" t="s">
        <v>40</v>
      </c>
      <c r="D29" s="73" t="s">
        <v>94</v>
      </c>
      <c r="E29" t="s">
        <v>42</v>
      </c>
      <c r="F29" t="s">
        <v>43</v>
      </c>
      <c r="G29" t="s">
        <v>68</v>
      </c>
      <c r="H29" s="73" t="s">
        <v>346</v>
      </c>
      <c r="I29" s="73" t="s">
        <v>89</v>
      </c>
      <c r="J29" s="73" t="s">
        <v>90</v>
      </c>
      <c r="K29" s="73" t="s">
        <v>52</v>
      </c>
      <c r="L29" s="73">
        <v>45300</v>
      </c>
      <c r="M29" s="73" t="s">
        <v>49</v>
      </c>
      <c r="N29" s="73" t="s">
        <v>47</v>
      </c>
    </row>
    <row r="30" spans="1:14" x14ac:dyDescent="0.3">
      <c r="A30" t="s">
        <v>38</v>
      </c>
      <c r="B30" s="73" t="s">
        <v>39</v>
      </c>
      <c r="C30" s="73" t="s">
        <v>40</v>
      </c>
      <c r="D30" s="73" t="s">
        <v>95</v>
      </c>
      <c r="E30" t="s">
        <v>42</v>
      </c>
      <c r="F30" t="s">
        <v>43</v>
      </c>
      <c r="G30" t="s">
        <v>44</v>
      </c>
      <c r="H30" s="73" t="s">
        <v>76</v>
      </c>
      <c r="I30" s="73" t="s">
        <v>55</v>
      </c>
      <c r="J30" s="73" t="s">
        <v>47</v>
      </c>
      <c r="K30" s="73" t="s">
        <v>52</v>
      </c>
      <c r="L30" s="73">
        <v>45264</v>
      </c>
      <c r="M30" s="73" t="s">
        <v>57</v>
      </c>
      <c r="N30" s="73" t="s">
        <v>47</v>
      </c>
    </row>
    <row r="31" spans="1:14" x14ac:dyDescent="0.3">
      <c r="A31" t="s">
        <v>38</v>
      </c>
      <c r="B31" s="73" t="s">
        <v>39</v>
      </c>
      <c r="C31" s="73" t="s">
        <v>40</v>
      </c>
      <c r="D31" s="73" t="s">
        <v>96</v>
      </c>
      <c r="E31" t="s">
        <v>42</v>
      </c>
      <c r="F31" t="s">
        <v>43</v>
      </c>
      <c r="G31" t="s">
        <v>44</v>
      </c>
      <c r="H31" s="73" t="s">
        <v>59</v>
      </c>
      <c r="I31" s="73" t="s">
        <v>60</v>
      </c>
      <c r="J31" s="73" t="s">
        <v>47</v>
      </c>
      <c r="K31" s="73" t="s">
        <v>52</v>
      </c>
      <c r="L31" s="73">
        <v>45264</v>
      </c>
      <c r="M31" s="73" t="s">
        <v>57</v>
      </c>
      <c r="N31" s="73" t="s">
        <v>47</v>
      </c>
    </row>
    <row r="32" spans="1:14" x14ac:dyDescent="0.3">
      <c r="A32" t="s">
        <v>469</v>
      </c>
      <c r="B32" s="73" t="s">
        <v>39</v>
      </c>
      <c r="C32" s="73" t="s">
        <v>470</v>
      </c>
      <c r="D32" s="73" t="s">
        <v>471</v>
      </c>
      <c r="E32" t="s">
        <v>42</v>
      </c>
      <c r="F32" t="s">
        <v>54</v>
      </c>
      <c r="G32" t="s">
        <v>44</v>
      </c>
      <c r="H32" s="73" t="s">
        <v>45</v>
      </c>
      <c r="I32" s="73" t="s">
        <v>472</v>
      </c>
      <c r="J32" s="73" t="s">
        <v>56</v>
      </c>
      <c r="K32" s="73" t="s">
        <v>48</v>
      </c>
      <c r="L32" s="73">
        <v>45372</v>
      </c>
      <c r="M32" s="73" t="s">
        <v>49</v>
      </c>
      <c r="N32" s="73" t="s">
        <v>47</v>
      </c>
    </row>
    <row r="33" spans="1:14" x14ac:dyDescent="0.3">
      <c r="A33" t="s">
        <v>469</v>
      </c>
      <c r="B33" s="73" t="s">
        <v>39</v>
      </c>
      <c r="C33" s="73" t="s">
        <v>470</v>
      </c>
      <c r="D33" s="73" t="s">
        <v>473</v>
      </c>
      <c r="E33" t="s">
        <v>42</v>
      </c>
      <c r="F33" t="s">
        <v>54</v>
      </c>
      <c r="G33" t="s">
        <v>44</v>
      </c>
      <c r="H33" s="73" t="s">
        <v>45</v>
      </c>
      <c r="I33" s="73" t="s">
        <v>55</v>
      </c>
      <c r="J33" s="73" t="s">
        <v>47</v>
      </c>
      <c r="K33" s="73" t="s">
        <v>48</v>
      </c>
      <c r="L33" s="73">
        <v>45372</v>
      </c>
      <c r="M33" s="73" t="s">
        <v>49</v>
      </c>
      <c r="N33" s="73" t="s">
        <v>47</v>
      </c>
    </row>
    <row r="34" spans="1:14" x14ac:dyDescent="0.3">
      <c r="A34" t="s">
        <v>469</v>
      </c>
      <c r="B34" s="73" t="s">
        <v>39</v>
      </c>
      <c r="C34" s="73" t="s">
        <v>470</v>
      </c>
      <c r="D34" s="73" t="s">
        <v>474</v>
      </c>
      <c r="E34" t="s">
        <v>42</v>
      </c>
      <c r="F34" t="s">
        <v>54</v>
      </c>
      <c r="G34" t="s">
        <v>44</v>
      </c>
      <c r="H34" s="73" t="s">
        <v>45</v>
      </c>
      <c r="I34" s="73" t="s">
        <v>55</v>
      </c>
      <c r="J34" s="73" t="s">
        <v>47</v>
      </c>
      <c r="K34" s="73" t="s">
        <v>48</v>
      </c>
      <c r="L34" s="73">
        <v>45372</v>
      </c>
      <c r="M34" s="73" t="s">
        <v>49</v>
      </c>
      <c r="N34" s="73" t="s">
        <v>47</v>
      </c>
    </row>
    <row r="35" spans="1:14" x14ac:dyDescent="0.3">
      <c r="A35" t="s">
        <v>469</v>
      </c>
      <c r="B35" s="73" t="s">
        <v>39</v>
      </c>
      <c r="C35" s="73" t="s">
        <v>470</v>
      </c>
      <c r="D35" s="73" t="s">
        <v>475</v>
      </c>
      <c r="E35" t="s">
        <v>42</v>
      </c>
      <c r="F35" t="s">
        <v>43</v>
      </c>
      <c r="G35" t="s">
        <v>44</v>
      </c>
      <c r="H35" s="73" t="s">
        <v>59</v>
      </c>
      <c r="I35" s="73" t="s">
        <v>60</v>
      </c>
      <c r="J35" s="73" t="s">
        <v>47</v>
      </c>
      <c r="K35" s="73" t="s">
        <v>48</v>
      </c>
      <c r="L35" s="73">
        <v>45372</v>
      </c>
      <c r="M35" s="73" t="s">
        <v>49</v>
      </c>
      <c r="N35" s="73" t="s">
        <v>47</v>
      </c>
    </row>
    <row r="36" spans="1:14" x14ac:dyDescent="0.3">
      <c r="A36" t="s">
        <v>469</v>
      </c>
      <c r="B36" s="73" t="s">
        <v>39</v>
      </c>
      <c r="C36" s="73" t="s">
        <v>470</v>
      </c>
      <c r="D36" s="73" t="s">
        <v>476</v>
      </c>
      <c r="E36" t="s">
        <v>42</v>
      </c>
      <c r="F36" t="s">
        <v>43</v>
      </c>
      <c r="G36" t="s">
        <v>44</v>
      </c>
      <c r="H36" s="73" t="s">
        <v>59</v>
      </c>
      <c r="I36" s="73" t="s">
        <v>60</v>
      </c>
      <c r="J36" s="73" t="s">
        <v>47</v>
      </c>
      <c r="K36" s="73" t="s">
        <v>48</v>
      </c>
      <c r="L36" s="73">
        <v>45372</v>
      </c>
      <c r="M36" s="73" t="s">
        <v>49</v>
      </c>
      <c r="N36" s="73" t="s">
        <v>47</v>
      </c>
    </row>
    <row r="37" spans="1:14" x14ac:dyDescent="0.3">
      <c r="A37" t="s">
        <v>469</v>
      </c>
      <c r="B37" s="73" t="s">
        <v>39</v>
      </c>
      <c r="C37" s="73" t="s">
        <v>470</v>
      </c>
      <c r="D37" s="73" t="s">
        <v>477</v>
      </c>
      <c r="E37" t="s">
        <v>42</v>
      </c>
      <c r="F37" t="s">
        <v>43</v>
      </c>
      <c r="G37" t="s">
        <v>44</v>
      </c>
      <c r="H37" s="73" t="s">
        <v>76</v>
      </c>
      <c r="I37" s="73" t="s">
        <v>55</v>
      </c>
      <c r="J37" s="73" t="s">
        <v>47</v>
      </c>
      <c r="K37" s="73" t="s">
        <v>48</v>
      </c>
      <c r="L37" s="73">
        <v>45372</v>
      </c>
      <c r="M37" s="73" t="s">
        <v>49</v>
      </c>
      <c r="N37" s="73" t="s">
        <v>47</v>
      </c>
    </row>
    <row r="38" spans="1:14" x14ac:dyDescent="0.3">
      <c r="A38" t="s">
        <v>469</v>
      </c>
      <c r="B38" s="73" t="s">
        <v>39</v>
      </c>
      <c r="C38" s="73" t="s">
        <v>470</v>
      </c>
      <c r="D38" s="73" t="s">
        <v>478</v>
      </c>
      <c r="E38" t="s">
        <v>42</v>
      </c>
      <c r="F38" t="s">
        <v>43</v>
      </c>
      <c r="G38" t="s">
        <v>44</v>
      </c>
      <c r="H38" s="73" t="s">
        <v>76</v>
      </c>
      <c r="I38" s="73" t="s">
        <v>55</v>
      </c>
      <c r="J38" s="73" t="s">
        <v>47</v>
      </c>
      <c r="K38" s="73" t="s">
        <v>48</v>
      </c>
      <c r="L38" s="73">
        <v>45372</v>
      </c>
      <c r="M38" s="73" t="s">
        <v>49</v>
      </c>
      <c r="N38" s="73" t="s">
        <v>47</v>
      </c>
    </row>
    <row r="39" spans="1:14" x14ac:dyDescent="0.3">
      <c r="A39" t="s">
        <v>469</v>
      </c>
      <c r="B39" s="73" t="s">
        <v>39</v>
      </c>
      <c r="C39" s="73" t="s">
        <v>470</v>
      </c>
      <c r="D39" s="73" t="s">
        <v>479</v>
      </c>
      <c r="E39" t="s">
        <v>42</v>
      </c>
      <c r="F39" t="s">
        <v>43</v>
      </c>
      <c r="G39" t="s">
        <v>44</v>
      </c>
      <c r="H39" s="73" t="s">
        <v>76</v>
      </c>
      <c r="I39" s="73" t="s">
        <v>55</v>
      </c>
      <c r="J39" s="73" t="s">
        <v>47</v>
      </c>
      <c r="K39" s="73" t="s">
        <v>48</v>
      </c>
      <c r="L39" s="73">
        <v>45372</v>
      </c>
      <c r="M39" s="73" t="s">
        <v>49</v>
      </c>
      <c r="N39" s="73" t="s">
        <v>47</v>
      </c>
    </row>
    <row r="40" spans="1:14" x14ac:dyDescent="0.3">
      <c r="A40" t="s">
        <v>469</v>
      </c>
      <c r="B40" s="73" t="s">
        <v>39</v>
      </c>
      <c r="C40" s="73" t="s">
        <v>470</v>
      </c>
      <c r="D40" s="73" t="s">
        <v>480</v>
      </c>
      <c r="E40" t="s">
        <v>42</v>
      </c>
      <c r="F40" t="s">
        <v>43</v>
      </c>
      <c r="G40" t="s">
        <v>44</v>
      </c>
      <c r="H40" s="73" t="s">
        <v>76</v>
      </c>
      <c r="I40" s="73" t="s">
        <v>55</v>
      </c>
      <c r="J40" s="73" t="s">
        <v>47</v>
      </c>
      <c r="K40" s="73" t="s">
        <v>48</v>
      </c>
      <c r="L40" s="73">
        <v>45372</v>
      </c>
      <c r="M40" s="73" t="s">
        <v>49</v>
      </c>
      <c r="N40" s="73" t="s">
        <v>47</v>
      </c>
    </row>
    <row r="41" spans="1:14" x14ac:dyDescent="0.3">
      <c r="A41" t="s">
        <v>469</v>
      </c>
      <c r="B41" s="73" t="s">
        <v>39</v>
      </c>
      <c r="C41" s="73" t="s">
        <v>470</v>
      </c>
      <c r="D41" s="73" t="s">
        <v>481</v>
      </c>
      <c r="E41" t="s">
        <v>42</v>
      </c>
      <c r="F41" t="s">
        <v>43</v>
      </c>
      <c r="G41" t="s">
        <v>44</v>
      </c>
      <c r="H41" s="73" t="s">
        <v>76</v>
      </c>
      <c r="I41" s="73" t="s">
        <v>55</v>
      </c>
      <c r="J41" s="73" t="s">
        <v>47</v>
      </c>
      <c r="K41" s="73" t="s">
        <v>48</v>
      </c>
      <c r="L41" s="73">
        <v>45372</v>
      </c>
      <c r="M41" s="73" t="s">
        <v>49</v>
      </c>
      <c r="N41" s="73" t="s">
        <v>47</v>
      </c>
    </row>
    <row r="42" spans="1:14" x14ac:dyDescent="0.3">
      <c r="A42" t="s">
        <v>469</v>
      </c>
      <c r="B42" s="73" t="s">
        <v>39</v>
      </c>
      <c r="C42" s="73" t="s">
        <v>470</v>
      </c>
      <c r="D42" s="73" t="s">
        <v>482</v>
      </c>
      <c r="E42" t="s">
        <v>42</v>
      </c>
      <c r="F42" t="s">
        <v>43</v>
      </c>
      <c r="G42" t="s">
        <v>44</v>
      </c>
      <c r="H42" s="73" t="s">
        <v>76</v>
      </c>
      <c r="I42" s="73" t="s">
        <v>55</v>
      </c>
      <c r="J42" s="73" t="s">
        <v>47</v>
      </c>
      <c r="K42" s="73" t="s">
        <v>48</v>
      </c>
      <c r="L42" s="73">
        <v>45372</v>
      </c>
      <c r="M42" s="73" t="s">
        <v>49</v>
      </c>
      <c r="N42" s="73" t="s">
        <v>47</v>
      </c>
    </row>
    <row r="43" spans="1:14" x14ac:dyDescent="0.3">
      <c r="A43" t="s">
        <v>469</v>
      </c>
      <c r="B43" s="73" t="s">
        <v>39</v>
      </c>
      <c r="C43" s="73" t="s">
        <v>470</v>
      </c>
      <c r="D43" s="73" t="s">
        <v>483</v>
      </c>
      <c r="E43" t="s">
        <v>42</v>
      </c>
      <c r="F43" t="s">
        <v>43</v>
      </c>
      <c r="G43" t="s">
        <v>44</v>
      </c>
      <c r="H43" s="73" t="s">
        <v>45</v>
      </c>
      <c r="I43" s="73" t="s">
        <v>472</v>
      </c>
      <c r="J43" s="73" t="s">
        <v>47</v>
      </c>
      <c r="K43" s="73" t="s">
        <v>52</v>
      </c>
      <c r="L43" s="73">
        <v>45372</v>
      </c>
      <c r="M43" s="73" t="s">
        <v>49</v>
      </c>
      <c r="N43" s="73" t="s">
        <v>47</v>
      </c>
    </row>
    <row r="44" spans="1:14" x14ac:dyDescent="0.3">
      <c r="A44" t="s">
        <v>469</v>
      </c>
      <c r="B44" s="73" t="s">
        <v>39</v>
      </c>
      <c r="C44" s="73" t="s">
        <v>470</v>
      </c>
      <c r="D44" s="73" t="s">
        <v>484</v>
      </c>
      <c r="E44" t="s">
        <v>42</v>
      </c>
      <c r="F44" t="s">
        <v>43</v>
      </c>
      <c r="G44" t="s">
        <v>44</v>
      </c>
      <c r="H44" s="73" t="s">
        <v>346</v>
      </c>
      <c r="I44" s="73" t="s">
        <v>89</v>
      </c>
      <c r="J44" s="73" t="s">
        <v>90</v>
      </c>
      <c r="K44" s="73" t="s">
        <v>52</v>
      </c>
      <c r="L44" s="73">
        <v>45372</v>
      </c>
      <c r="M44" s="73" t="s">
        <v>49</v>
      </c>
      <c r="N44" s="73" t="s">
        <v>47</v>
      </c>
    </row>
    <row r="45" spans="1:14" x14ac:dyDescent="0.3">
      <c r="A45" t="s">
        <v>469</v>
      </c>
      <c r="B45" s="73" t="s">
        <v>39</v>
      </c>
      <c r="C45" s="73" t="s">
        <v>470</v>
      </c>
      <c r="D45" s="73" t="s">
        <v>485</v>
      </c>
      <c r="E45" t="s">
        <v>42</v>
      </c>
      <c r="F45" t="s">
        <v>43</v>
      </c>
      <c r="G45" t="s">
        <v>44</v>
      </c>
      <c r="H45" s="73" t="s">
        <v>346</v>
      </c>
      <c r="I45" s="73" t="s">
        <v>89</v>
      </c>
      <c r="J45" s="73" t="s">
        <v>90</v>
      </c>
      <c r="K45" s="73" t="s">
        <v>52</v>
      </c>
      <c r="L45" s="73">
        <v>45372</v>
      </c>
      <c r="M45" s="73" t="s">
        <v>49</v>
      </c>
      <c r="N45" s="73" t="s">
        <v>47</v>
      </c>
    </row>
    <row r="46" spans="1:14" x14ac:dyDescent="0.3">
      <c r="A46" t="s">
        <v>469</v>
      </c>
      <c r="B46" s="73" t="s">
        <v>39</v>
      </c>
      <c r="C46" s="73" t="s">
        <v>470</v>
      </c>
      <c r="D46" s="73" t="s">
        <v>486</v>
      </c>
      <c r="E46" t="s">
        <v>42</v>
      </c>
      <c r="F46" t="s">
        <v>43</v>
      </c>
      <c r="G46" t="s">
        <v>44</v>
      </c>
      <c r="H46" s="73" t="s">
        <v>346</v>
      </c>
      <c r="I46" s="73" t="s">
        <v>89</v>
      </c>
      <c r="J46" s="73" t="s">
        <v>90</v>
      </c>
      <c r="K46" s="73" t="s">
        <v>52</v>
      </c>
      <c r="L46" s="73">
        <v>45372</v>
      </c>
      <c r="M46" s="73" t="s">
        <v>49</v>
      </c>
      <c r="N46" s="73" t="s">
        <v>47</v>
      </c>
    </row>
    <row r="47" spans="1:14" x14ac:dyDescent="0.3">
      <c r="A47" t="s">
        <v>487</v>
      </c>
      <c r="B47" s="73" t="s">
        <v>39</v>
      </c>
      <c r="C47" s="73" t="s">
        <v>470</v>
      </c>
      <c r="D47" s="73" t="s">
        <v>488</v>
      </c>
      <c r="E47" t="s">
        <v>42</v>
      </c>
      <c r="F47" t="s">
        <v>43</v>
      </c>
      <c r="G47" t="s">
        <v>44</v>
      </c>
      <c r="H47" s="73" t="s">
        <v>45</v>
      </c>
      <c r="I47" s="73" t="s">
        <v>472</v>
      </c>
      <c r="J47" s="73" t="s">
        <v>47</v>
      </c>
      <c r="K47" s="73" t="s">
        <v>52</v>
      </c>
      <c r="L47" s="73">
        <v>45372</v>
      </c>
      <c r="M47" s="73" t="s">
        <v>49</v>
      </c>
      <c r="N47" s="73" t="s">
        <v>47</v>
      </c>
    </row>
    <row r="48" spans="1:14" x14ac:dyDescent="0.3">
      <c r="A48" t="s">
        <v>487</v>
      </c>
      <c r="B48" s="73" t="s">
        <v>39</v>
      </c>
      <c r="C48" s="73" t="s">
        <v>470</v>
      </c>
      <c r="D48" s="73" t="s">
        <v>489</v>
      </c>
      <c r="E48" t="s">
        <v>42</v>
      </c>
      <c r="F48" t="s">
        <v>43</v>
      </c>
      <c r="G48" t="s">
        <v>44</v>
      </c>
      <c r="H48" s="73" t="s">
        <v>45</v>
      </c>
      <c r="I48" s="73" t="s">
        <v>472</v>
      </c>
      <c r="J48" s="73" t="s">
        <v>47</v>
      </c>
      <c r="K48" s="73" t="s">
        <v>52</v>
      </c>
      <c r="L48" s="73">
        <v>45372</v>
      </c>
      <c r="M48" s="73" t="s">
        <v>49</v>
      </c>
      <c r="N48" s="73" t="s">
        <v>47</v>
      </c>
    </row>
    <row r="49" spans="1:14" x14ac:dyDescent="0.3">
      <c r="A49" t="s">
        <v>487</v>
      </c>
      <c r="B49" s="73" t="s">
        <v>39</v>
      </c>
      <c r="C49" s="73" t="s">
        <v>470</v>
      </c>
      <c r="D49" s="73" t="s">
        <v>490</v>
      </c>
      <c r="E49" t="s">
        <v>42</v>
      </c>
      <c r="F49" t="s">
        <v>43</v>
      </c>
      <c r="G49" t="s">
        <v>44</v>
      </c>
      <c r="H49" s="73" t="s">
        <v>45</v>
      </c>
      <c r="I49" s="73" t="s">
        <v>472</v>
      </c>
      <c r="J49" s="73" t="s">
        <v>47</v>
      </c>
      <c r="K49" s="73" t="s">
        <v>52</v>
      </c>
      <c r="L49" s="73">
        <v>45372</v>
      </c>
      <c r="M49" s="73" t="s">
        <v>49</v>
      </c>
      <c r="N49" s="73" t="s">
        <v>47</v>
      </c>
    </row>
    <row r="50" spans="1:14" x14ac:dyDescent="0.3">
      <c r="A50" t="s">
        <v>487</v>
      </c>
      <c r="B50" s="73" t="s">
        <v>39</v>
      </c>
      <c r="C50" s="73" t="s">
        <v>470</v>
      </c>
      <c r="D50" s="73" t="s">
        <v>491</v>
      </c>
      <c r="E50" t="s">
        <v>42</v>
      </c>
      <c r="F50" t="s">
        <v>43</v>
      </c>
      <c r="G50" t="s">
        <v>44</v>
      </c>
      <c r="H50" s="73" t="s">
        <v>45</v>
      </c>
      <c r="I50" s="73" t="s">
        <v>55</v>
      </c>
      <c r="J50" s="73" t="s">
        <v>47</v>
      </c>
      <c r="K50" s="73" t="s">
        <v>52</v>
      </c>
      <c r="L50" s="73">
        <v>45372</v>
      </c>
      <c r="M50" s="73" t="s">
        <v>49</v>
      </c>
      <c r="N50" s="73" t="s">
        <v>47</v>
      </c>
    </row>
    <row r="51" spans="1:14" x14ac:dyDescent="0.3">
      <c r="A51" t="s">
        <v>487</v>
      </c>
      <c r="B51" s="73" t="s">
        <v>39</v>
      </c>
      <c r="C51" s="73" t="s">
        <v>470</v>
      </c>
      <c r="D51" s="73" t="s">
        <v>492</v>
      </c>
      <c r="E51" t="s">
        <v>42</v>
      </c>
      <c r="F51" t="s">
        <v>43</v>
      </c>
      <c r="G51" t="s">
        <v>44</v>
      </c>
      <c r="H51" s="73" t="s">
        <v>45</v>
      </c>
      <c r="I51" s="73" t="s">
        <v>472</v>
      </c>
      <c r="J51" s="73" t="s">
        <v>47</v>
      </c>
      <c r="K51" s="73" t="s">
        <v>52</v>
      </c>
      <c r="L51" s="73">
        <v>45372</v>
      </c>
      <c r="M51" s="73" t="s">
        <v>49</v>
      </c>
      <c r="N51" s="73" t="s">
        <v>47</v>
      </c>
    </row>
    <row r="52" spans="1:14" x14ac:dyDescent="0.3">
      <c r="A52" t="s">
        <v>493</v>
      </c>
      <c r="B52" s="73" t="s">
        <v>39</v>
      </c>
      <c r="C52" s="73" t="s">
        <v>470</v>
      </c>
      <c r="D52" s="73" t="s">
        <v>494</v>
      </c>
      <c r="E52" t="s">
        <v>42</v>
      </c>
      <c r="F52" t="s">
        <v>43</v>
      </c>
      <c r="G52" t="s">
        <v>44</v>
      </c>
      <c r="H52" s="73" t="s">
        <v>45</v>
      </c>
      <c r="I52" s="73" t="s">
        <v>472</v>
      </c>
      <c r="J52" s="73" t="s">
        <v>47</v>
      </c>
      <c r="K52" s="73" t="s">
        <v>52</v>
      </c>
      <c r="L52" s="73">
        <v>45372</v>
      </c>
      <c r="M52" s="73" t="s">
        <v>49</v>
      </c>
      <c r="N52" s="73" t="s">
        <v>47</v>
      </c>
    </row>
    <row r="53" spans="1:14" x14ac:dyDescent="0.3">
      <c r="A53" t="s">
        <v>493</v>
      </c>
      <c r="B53" s="73" t="s">
        <v>39</v>
      </c>
      <c r="C53" s="73" t="s">
        <v>470</v>
      </c>
      <c r="D53" s="73" t="s">
        <v>495</v>
      </c>
      <c r="E53" t="s">
        <v>42</v>
      </c>
      <c r="F53" t="s">
        <v>43</v>
      </c>
      <c r="G53" t="s">
        <v>44</v>
      </c>
      <c r="H53" s="73" t="s">
        <v>45</v>
      </c>
      <c r="I53" s="73" t="s">
        <v>472</v>
      </c>
      <c r="J53" s="73" t="s">
        <v>47</v>
      </c>
      <c r="K53" s="73" t="s">
        <v>52</v>
      </c>
      <c r="L53" s="73">
        <v>45372</v>
      </c>
      <c r="M53" s="73" t="s">
        <v>49</v>
      </c>
      <c r="N53" s="73" t="s">
        <v>47</v>
      </c>
    </row>
    <row r="54" spans="1:14" x14ac:dyDescent="0.3">
      <c r="A54" t="s">
        <v>493</v>
      </c>
      <c r="B54" s="73" t="s">
        <v>39</v>
      </c>
      <c r="C54" s="73" t="s">
        <v>470</v>
      </c>
      <c r="D54" s="73" t="s">
        <v>496</v>
      </c>
      <c r="E54" t="s">
        <v>42</v>
      </c>
      <c r="F54" t="s">
        <v>43</v>
      </c>
      <c r="G54" t="s">
        <v>44</v>
      </c>
      <c r="H54" s="73" t="s">
        <v>45</v>
      </c>
      <c r="I54" s="73" t="s">
        <v>472</v>
      </c>
      <c r="J54" s="73" t="s">
        <v>47</v>
      </c>
      <c r="K54" s="73" t="s">
        <v>52</v>
      </c>
      <c r="L54" s="73">
        <v>45372</v>
      </c>
      <c r="M54" s="73" t="s">
        <v>49</v>
      </c>
      <c r="N54" s="73" t="s">
        <v>47</v>
      </c>
    </row>
    <row r="55" spans="1:14" x14ac:dyDescent="0.3">
      <c r="A55" t="s">
        <v>493</v>
      </c>
      <c r="B55" s="73" t="s">
        <v>39</v>
      </c>
      <c r="C55" s="73" t="s">
        <v>470</v>
      </c>
      <c r="D55" s="73" t="s">
        <v>497</v>
      </c>
      <c r="E55" t="s">
        <v>42</v>
      </c>
      <c r="F55" t="s">
        <v>43</v>
      </c>
      <c r="G55" t="s">
        <v>44</v>
      </c>
      <c r="H55" s="73" t="s">
        <v>76</v>
      </c>
      <c r="I55" s="73" t="s">
        <v>55</v>
      </c>
      <c r="J55" s="73" t="s">
        <v>47</v>
      </c>
      <c r="K55" s="73" t="s">
        <v>52</v>
      </c>
      <c r="L55" s="73">
        <v>45372</v>
      </c>
      <c r="M55" s="73" t="s">
        <v>49</v>
      </c>
      <c r="N55" s="73" t="s">
        <v>47</v>
      </c>
    </row>
    <row r="56" spans="1:14" x14ac:dyDescent="0.3">
      <c r="A56" t="s">
        <v>493</v>
      </c>
      <c r="B56" s="73" t="s">
        <v>39</v>
      </c>
      <c r="C56" s="73" t="s">
        <v>470</v>
      </c>
      <c r="D56" s="73" t="s">
        <v>498</v>
      </c>
      <c r="E56" t="s">
        <v>42</v>
      </c>
      <c r="F56" t="s">
        <v>43</v>
      </c>
      <c r="G56" t="s">
        <v>44</v>
      </c>
      <c r="H56" s="73" t="s">
        <v>45</v>
      </c>
      <c r="I56" s="73" t="s">
        <v>472</v>
      </c>
      <c r="J56" s="73" t="s">
        <v>47</v>
      </c>
      <c r="K56" s="73" t="s">
        <v>52</v>
      </c>
      <c r="L56" s="73">
        <v>45372</v>
      </c>
      <c r="M56" s="73" t="s">
        <v>49</v>
      </c>
      <c r="N56" s="73" t="s">
        <v>47</v>
      </c>
    </row>
    <row r="57" spans="1:14" x14ac:dyDescent="0.3">
      <c r="A57" t="s">
        <v>499</v>
      </c>
      <c r="B57" s="73" t="s">
        <v>39</v>
      </c>
      <c r="C57" s="73" t="s">
        <v>470</v>
      </c>
      <c r="D57" s="73" t="s">
        <v>500</v>
      </c>
      <c r="E57" t="s">
        <v>42</v>
      </c>
      <c r="F57" t="s">
        <v>43</v>
      </c>
      <c r="G57" t="s">
        <v>44</v>
      </c>
      <c r="H57" s="73" t="s">
        <v>45</v>
      </c>
      <c r="I57" s="73" t="s">
        <v>472</v>
      </c>
      <c r="J57" s="73" t="s">
        <v>47</v>
      </c>
      <c r="K57" s="73" t="s">
        <v>52</v>
      </c>
      <c r="L57" s="73">
        <v>45372</v>
      </c>
      <c r="M57" s="73" t="s">
        <v>49</v>
      </c>
      <c r="N57" s="73" t="s">
        <v>47</v>
      </c>
    </row>
    <row r="58" spans="1:14" x14ac:dyDescent="0.3">
      <c r="A58" t="s">
        <v>499</v>
      </c>
      <c r="B58" s="73" t="s">
        <v>39</v>
      </c>
      <c r="C58" s="73" t="s">
        <v>470</v>
      </c>
      <c r="D58" s="73" t="s">
        <v>501</v>
      </c>
      <c r="E58" t="s">
        <v>42</v>
      </c>
      <c r="F58" t="s">
        <v>43</v>
      </c>
      <c r="G58" t="s">
        <v>44</v>
      </c>
      <c r="H58" s="73" t="s">
        <v>45</v>
      </c>
      <c r="I58" s="73" t="s">
        <v>472</v>
      </c>
      <c r="J58" s="73" t="s">
        <v>47</v>
      </c>
      <c r="K58" s="73" t="s">
        <v>52</v>
      </c>
      <c r="L58" s="73">
        <v>45372</v>
      </c>
      <c r="M58" s="73" t="s">
        <v>49</v>
      </c>
      <c r="N58" s="73" t="s">
        <v>47</v>
      </c>
    </row>
    <row r="59" spans="1:14" x14ac:dyDescent="0.3">
      <c r="A59" t="s">
        <v>499</v>
      </c>
      <c r="B59" s="73" t="s">
        <v>39</v>
      </c>
      <c r="C59" s="73" t="s">
        <v>470</v>
      </c>
      <c r="D59" s="73" t="s">
        <v>502</v>
      </c>
      <c r="E59" t="s">
        <v>42</v>
      </c>
      <c r="F59" t="s">
        <v>43</v>
      </c>
      <c r="G59" t="s">
        <v>44</v>
      </c>
      <c r="H59" s="73" t="s">
        <v>45</v>
      </c>
      <c r="I59" s="73" t="s">
        <v>472</v>
      </c>
      <c r="J59" s="73" t="s">
        <v>47</v>
      </c>
      <c r="K59" s="73" t="s">
        <v>52</v>
      </c>
      <c r="L59" s="73">
        <v>45372</v>
      </c>
      <c r="M59" s="73" t="s">
        <v>49</v>
      </c>
      <c r="N59" s="73" t="s">
        <v>47</v>
      </c>
    </row>
    <row r="60" spans="1:14" x14ac:dyDescent="0.3">
      <c r="A60" t="s">
        <v>499</v>
      </c>
      <c r="B60" s="73" t="s">
        <v>39</v>
      </c>
      <c r="C60" s="73" t="s">
        <v>470</v>
      </c>
      <c r="D60" s="73" t="s">
        <v>503</v>
      </c>
      <c r="E60" t="s">
        <v>42</v>
      </c>
      <c r="F60" t="s">
        <v>43</v>
      </c>
      <c r="G60" t="s">
        <v>44</v>
      </c>
      <c r="H60" s="73" t="s">
        <v>76</v>
      </c>
      <c r="I60" s="73" t="s">
        <v>55</v>
      </c>
      <c r="J60" s="73" t="s">
        <v>47</v>
      </c>
      <c r="K60" s="73" t="s">
        <v>52</v>
      </c>
      <c r="L60" s="73">
        <v>45372</v>
      </c>
      <c r="M60" s="73" t="s">
        <v>49</v>
      </c>
      <c r="N60" s="73" t="s">
        <v>47</v>
      </c>
    </row>
    <row r="61" spans="1:14" x14ac:dyDescent="0.3">
      <c r="A61" t="s">
        <v>499</v>
      </c>
      <c r="B61" s="73" t="s">
        <v>39</v>
      </c>
      <c r="C61" s="73" t="s">
        <v>470</v>
      </c>
      <c r="D61" s="73" t="s">
        <v>504</v>
      </c>
      <c r="E61" t="s">
        <v>42</v>
      </c>
      <c r="F61" t="s">
        <v>43</v>
      </c>
      <c r="G61" t="s">
        <v>44</v>
      </c>
      <c r="H61" s="73" t="s">
        <v>45</v>
      </c>
      <c r="I61" s="73" t="s">
        <v>472</v>
      </c>
      <c r="J61" s="73" t="s">
        <v>47</v>
      </c>
      <c r="K61" s="73" t="s">
        <v>52</v>
      </c>
      <c r="L61" s="73">
        <v>45372</v>
      </c>
      <c r="M61" s="73" t="s">
        <v>49</v>
      </c>
      <c r="N61" s="73" t="s">
        <v>47</v>
      </c>
    </row>
    <row r="62" spans="1:14" x14ac:dyDescent="0.3">
      <c r="A62" t="s">
        <v>505</v>
      </c>
      <c r="B62" s="73" t="s">
        <v>39</v>
      </c>
      <c r="C62" s="73" t="s">
        <v>470</v>
      </c>
      <c r="D62" s="73" t="s">
        <v>506</v>
      </c>
      <c r="E62" t="s">
        <v>42</v>
      </c>
      <c r="F62" t="s">
        <v>43</v>
      </c>
      <c r="G62" t="s">
        <v>44</v>
      </c>
      <c r="H62" s="73" t="s">
        <v>45</v>
      </c>
      <c r="I62" s="73" t="s">
        <v>472</v>
      </c>
      <c r="J62" s="73" t="s">
        <v>47</v>
      </c>
      <c r="K62" s="73" t="s">
        <v>52</v>
      </c>
      <c r="L62" s="73">
        <v>45372</v>
      </c>
      <c r="M62" s="73" t="s">
        <v>49</v>
      </c>
      <c r="N62" s="73" t="s">
        <v>47</v>
      </c>
    </row>
    <row r="63" spans="1:14" x14ac:dyDescent="0.3">
      <c r="A63" t="s">
        <v>505</v>
      </c>
      <c r="B63" s="73" t="s">
        <v>39</v>
      </c>
      <c r="C63" s="73" t="s">
        <v>470</v>
      </c>
      <c r="D63" s="73" t="s">
        <v>507</v>
      </c>
      <c r="E63" t="s">
        <v>42</v>
      </c>
      <c r="F63" t="s">
        <v>43</v>
      </c>
      <c r="G63" t="s">
        <v>44</v>
      </c>
      <c r="H63" s="73" t="s">
        <v>45</v>
      </c>
      <c r="I63" s="73" t="s">
        <v>472</v>
      </c>
      <c r="J63" s="73" t="s">
        <v>47</v>
      </c>
      <c r="K63" s="73" t="s">
        <v>52</v>
      </c>
      <c r="L63" s="73">
        <v>45372</v>
      </c>
      <c r="M63" s="73" t="s">
        <v>49</v>
      </c>
      <c r="N63" s="73" t="s">
        <v>47</v>
      </c>
    </row>
    <row r="64" spans="1:14" x14ac:dyDescent="0.3">
      <c r="A64" t="s">
        <v>505</v>
      </c>
      <c r="B64" s="73" t="s">
        <v>39</v>
      </c>
      <c r="C64" s="73" t="s">
        <v>470</v>
      </c>
      <c r="D64" s="73" t="s">
        <v>508</v>
      </c>
      <c r="E64" t="s">
        <v>42</v>
      </c>
      <c r="F64" t="s">
        <v>43</v>
      </c>
      <c r="G64" t="s">
        <v>44</v>
      </c>
      <c r="H64" s="73" t="s">
        <v>45</v>
      </c>
      <c r="I64" s="73" t="s">
        <v>472</v>
      </c>
      <c r="J64" s="73" t="s">
        <v>47</v>
      </c>
      <c r="K64" s="73" t="s">
        <v>52</v>
      </c>
      <c r="L64" s="73">
        <v>45372</v>
      </c>
      <c r="M64" s="73" t="s">
        <v>49</v>
      </c>
      <c r="N64" s="73" t="s">
        <v>47</v>
      </c>
    </row>
    <row r="65" spans="1:14" x14ac:dyDescent="0.3">
      <c r="A65" t="s">
        <v>505</v>
      </c>
      <c r="B65" s="73" t="s">
        <v>39</v>
      </c>
      <c r="C65" s="73" t="s">
        <v>470</v>
      </c>
      <c r="D65" s="73" t="s">
        <v>509</v>
      </c>
      <c r="E65" t="s">
        <v>42</v>
      </c>
      <c r="F65" t="s">
        <v>43</v>
      </c>
      <c r="G65" t="s">
        <v>44</v>
      </c>
      <c r="H65" s="73" t="s">
        <v>76</v>
      </c>
      <c r="I65" s="73" t="s">
        <v>55</v>
      </c>
      <c r="J65" s="73" t="s">
        <v>47</v>
      </c>
      <c r="K65" s="73" t="s">
        <v>52</v>
      </c>
      <c r="L65" s="73">
        <v>45372</v>
      </c>
      <c r="M65" s="73" t="s">
        <v>49</v>
      </c>
      <c r="N65" s="73" t="s">
        <v>47</v>
      </c>
    </row>
    <row r="66" spans="1:14" x14ac:dyDescent="0.3">
      <c r="A66" t="s">
        <v>505</v>
      </c>
      <c r="B66" s="73" t="s">
        <v>39</v>
      </c>
      <c r="C66" s="73" t="s">
        <v>470</v>
      </c>
      <c r="D66" s="73" t="s">
        <v>510</v>
      </c>
      <c r="E66" t="s">
        <v>42</v>
      </c>
      <c r="F66" t="s">
        <v>43</v>
      </c>
      <c r="G66" t="s">
        <v>44</v>
      </c>
      <c r="H66" s="73" t="s">
        <v>45</v>
      </c>
      <c r="I66" s="73" t="s">
        <v>472</v>
      </c>
      <c r="J66" s="73" t="s">
        <v>47</v>
      </c>
      <c r="K66" s="73" t="s">
        <v>52</v>
      </c>
      <c r="L66" s="73">
        <v>45372</v>
      </c>
      <c r="M66" s="73" t="s">
        <v>49</v>
      </c>
      <c r="N66" s="73" t="s">
        <v>47</v>
      </c>
    </row>
    <row r="67" spans="1:14" x14ac:dyDescent="0.3">
      <c r="A67" t="s">
        <v>469</v>
      </c>
      <c r="B67" s="73" t="s">
        <v>39</v>
      </c>
      <c r="C67" s="73" t="s">
        <v>470</v>
      </c>
      <c r="D67" s="73" t="s">
        <v>511</v>
      </c>
      <c r="E67" t="s">
        <v>42</v>
      </c>
      <c r="F67" t="s">
        <v>43</v>
      </c>
      <c r="G67" t="s">
        <v>44</v>
      </c>
      <c r="H67" s="73" t="s">
        <v>76</v>
      </c>
      <c r="I67" s="73" t="s">
        <v>55</v>
      </c>
      <c r="J67" s="73" t="s">
        <v>47</v>
      </c>
      <c r="K67" s="73" t="s">
        <v>48</v>
      </c>
      <c r="L67" s="73">
        <v>45372</v>
      </c>
      <c r="M67" s="73" t="s">
        <v>49</v>
      </c>
      <c r="N67" s="73" t="s">
        <v>47</v>
      </c>
    </row>
    <row r="68" spans="1:14" x14ac:dyDescent="0.3">
      <c r="A68" t="s">
        <v>469</v>
      </c>
      <c r="B68" s="73" t="s">
        <v>39</v>
      </c>
      <c r="C68" s="73" t="s">
        <v>470</v>
      </c>
      <c r="D68" s="73" t="s">
        <v>512</v>
      </c>
      <c r="E68" t="s">
        <v>42</v>
      </c>
      <c r="F68" t="s">
        <v>43</v>
      </c>
      <c r="G68" t="s">
        <v>44</v>
      </c>
      <c r="H68" s="73" t="s">
        <v>76</v>
      </c>
      <c r="I68" s="73" t="s">
        <v>55</v>
      </c>
      <c r="J68" s="73" t="s">
        <v>47</v>
      </c>
      <c r="K68" s="73" t="s">
        <v>48</v>
      </c>
      <c r="L68" s="73">
        <v>45372</v>
      </c>
      <c r="M68" s="73" t="s">
        <v>49</v>
      </c>
      <c r="N68" s="73" t="s">
        <v>47</v>
      </c>
    </row>
    <row r="69" spans="1:14" x14ac:dyDescent="0.3">
      <c r="A69" t="s">
        <v>38</v>
      </c>
      <c r="B69" s="73" t="s">
        <v>39</v>
      </c>
      <c r="C69" s="73" t="s">
        <v>619</v>
      </c>
      <c r="D69" s="73" t="s">
        <v>620</v>
      </c>
      <c r="E69" t="s">
        <v>42</v>
      </c>
      <c r="F69" t="s">
        <v>43</v>
      </c>
      <c r="G69" t="s">
        <v>68</v>
      </c>
      <c r="H69" s="73" t="s">
        <v>45</v>
      </c>
      <c r="I69" s="73" t="s">
        <v>59</v>
      </c>
      <c r="J69" s="73" t="s">
        <v>47</v>
      </c>
      <c r="K69" s="73" t="s">
        <v>48</v>
      </c>
      <c r="L69" s="73">
        <v>45454</v>
      </c>
      <c r="M69" s="73" t="s">
        <v>57</v>
      </c>
      <c r="N69" s="73" t="s">
        <v>47</v>
      </c>
    </row>
    <row r="70" spans="1:14" x14ac:dyDescent="0.3">
      <c r="A70" t="s">
        <v>38</v>
      </c>
      <c r="B70" s="73" t="s">
        <v>39</v>
      </c>
      <c r="C70" s="73" t="s">
        <v>619</v>
      </c>
      <c r="D70" s="73" t="s">
        <v>473</v>
      </c>
      <c r="E70" t="s">
        <v>42</v>
      </c>
      <c r="F70" t="s">
        <v>43</v>
      </c>
      <c r="G70" t="s">
        <v>44</v>
      </c>
      <c r="H70" s="73" t="s">
        <v>45</v>
      </c>
      <c r="I70" s="73" t="s">
        <v>55</v>
      </c>
      <c r="J70" s="73" t="s">
        <v>47</v>
      </c>
      <c r="K70" s="73" t="s">
        <v>48</v>
      </c>
      <c r="L70" s="73">
        <v>45454</v>
      </c>
      <c r="M70" s="73" t="s">
        <v>57</v>
      </c>
      <c r="N70" s="73" t="s">
        <v>47</v>
      </c>
    </row>
    <row r="71" spans="1:14" x14ac:dyDescent="0.3">
      <c r="A71" t="s">
        <v>38</v>
      </c>
      <c r="B71" s="73" t="s">
        <v>39</v>
      </c>
      <c r="C71" s="73" t="s">
        <v>619</v>
      </c>
      <c r="D71" s="73" t="s">
        <v>621</v>
      </c>
      <c r="E71" t="s">
        <v>42</v>
      </c>
      <c r="F71" t="s">
        <v>43</v>
      </c>
      <c r="G71" t="s">
        <v>44</v>
      </c>
      <c r="H71" s="73" t="s">
        <v>45</v>
      </c>
      <c r="I71" s="73" t="s">
        <v>55</v>
      </c>
      <c r="J71" s="73" t="s">
        <v>47</v>
      </c>
      <c r="K71" s="73" t="s">
        <v>48</v>
      </c>
      <c r="L71" s="73">
        <v>45454</v>
      </c>
      <c r="M71" s="73" t="s">
        <v>57</v>
      </c>
      <c r="N71" s="73" t="s">
        <v>47</v>
      </c>
    </row>
    <row r="72" spans="1:14" x14ac:dyDescent="0.3">
      <c r="A72" t="s">
        <v>38</v>
      </c>
      <c r="B72" s="73" t="s">
        <v>39</v>
      </c>
      <c r="C72" s="73" t="s">
        <v>619</v>
      </c>
      <c r="D72" s="73" t="s">
        <v>622</v>
      </c>
      <c r="E72" t="s">
        <v>42</v>
      </c>
      <c r="F72" t="s">
        <v>43</v>
      </c>
      <c r="G72" t="s">
        <v>44</v>
      </c>
      <c r="H72" s="73" t="s">
        <v>45</v>
      </c>
      <c r="I72" s="73" t="s">
        <v>46</v>
      </c>
      <c r="J72" s="73" t="s">
        <v>47</v>
      </c>
      <c r="K72" s="73" t="s">
        <v>48</v>
      </c>
      <c r="L72" s="73">
        <v>45454</v>
      </c>
      <c r="M72" s="73" t="s">
        <v>57</v>
      </c>
      <c r="N72" s="73" t="s">
        <v>47</v>
      </c>
    </row>
    <row r="73" spans="1:14" x14ac:dyDescent="0.3">
      <c r="A73" t="s">
        <v>38</v>
      </c>
      <c r="B73" s="73" t="s">
        <v>39</v>
      </c>
      <c r="C73" s="73" t="s">
        <v>619</v>
      </c>
      <c r="D73" s="73" t="s">
        <v>623</v>
      </c>
      <c r="E73" t="s">
        <v>42</v>
      </c>
      <c r="F73" t="s">
        <v>43</v>
      </c>
      <c r="G73" t="s">
        <v>44</v>
      </c>
      <c r="H73" s="73" t="s">
        <v>45</v>
      </c>
      <c r="I73" s="73" t="s">
        <v>46</v>
      </c>
      <c r="J73" s="73" t="s">
        <v>47</v>
      </c>
      <c r="K73" s="73" t="s">
        <v>48</v>
      </c>
      <c r="L73" s="73">
        <v>45454</v>
      </c>
      <c r="M73" s="73" t="s">
        <v>57</v>
      </c>
      <c r="N73" s="73" t="s">
        <v>47</v>
      </c>
    </row>
    <row r="74" spans="1:14" x14ac:dyDescent="0.3">
      <c r="A74" t="s">
        <v>38</v>
      </c>
      <c r="B74" s="73" t="s">
        <v>39</v>
      </c>
      <c r="C74" s="73" t="s">
        <v>619</v>
      </c>
      <c r="D74" s="73" t="s">
        <v>624</v>
      </c>
      <c r="E74" t="s">
        <v>42</v>
      </c>
      <c r="F74" t="s">
        <v>43</v>
      </c>
      <c r="G74" t="s">
        <v>44</v>
      </c>
      <c r="H74" s="73" t="s">
        <v>346</v>
      </c>
      <c r="I74" s="73" t="s">
        <v>89</v>
      </c>
      <c r="J74" s="73" t="s">
        <v>90</v>
      </c>
      <c r="K74" s="73" t="s">
        <v>48</v>
      </c>
      <c r="L74" s="73">
        <v>45454</v>
      </c>
      <c r="M74" s="73" t="s">
        <v>57</v>
      </c>
      <c r="N74" s="73" t="s">
        <v>47</v>
      </c>
    </row>
    <row r="75" spans="1:14" x14ac:dyDescent="0.3">
      <c r="A75" t="s">
        <v>38</v>
      </c>
      <c r="B75" s="73" t="s">
        <v>39</v>
      </c>
      <c r="C75" s="73" t="s">
        <v>619</v>
      </c>
      <c r="D75" s="73" t="s">
        <v>625</v>
      </c>
      <c r="E75" t="s">
        <v>42</v>
      </c>
      <c r="F75" t="s">
        <v>43</v>
      </c>
      <c r="G75" t="s">
        <v>44</v>
      </c>
      <c r="H75" s="73" t="s">
        <v>346</v>
      </c>
      <c r="I75" s="73" t="s">
        <v>89</v>
      </c>
      <c r="J75" s="73" t="s">
        <v>90</v>
      </c>
      <c r="K75" s="73" t="s">
        <v>48</v>
      </c>
      <c r="L75" s="73">
        <v>45454</v>
      </c>
      <c r="M75" s="73" t="s">
        <v>57</v>
      </c>
      <c r="N75" s="73" t="s">
        <v>47</v>
      </c>
    </row>
    <row r="76" spans="1:14" x14ac:dyDescent="0.3">
      <c r="A76" t="s">
        <v>38</v>
      </c>
      <c r="B76" s="73" t="s">
        <v>39</v>
      </c>
      <c r="C76" s="73" t="s">
        <v>619</v>
      </c>
      <c r="D76" s="73" t="s">
        <v>626</v>
      </c>
      <c r="E76" t="s">
        <v>42</v>
      </c>
      <c r="F76" t="s">
        <v>43</v>
      </c>
      <c r="G76" t="s">
        <v>68</v>
      </c>
      <c r="H76" s="73" t="s">
        <v>45</v>
      </c>
      <c r="I76" s="73" t="s">
        <v>92</v>
      </c>
      <c r="J76" s="73" t="s">
        <v>47</v>
      </c>
      <c r="K76" s="73" t="s">
        <v>48</v>
      </c>
      <c r="L76" s="73">
        <v>45454</v>
      </c>
      <c r="M76" s="73" t="s">
        <v>57</v>
      </c>
      <c r="N76" s="73" t="s">
        <v>47</v>
      </c>
    </row>
    <row r="77" spans="1:14" x14ac:dyDescent="0.3">
      <c r="A77" t="s">
        <v>38</v>
      </c>
      <c r="B77" s="73" t="s">
        <v>39</v>
      </c>
      <c r="C77" s="73" t="s">
        <v>619</v>
      </c>
      <c r="D77" s="73" t="s">
        <v>627</v>
      </c>
      <c r="E77" t="s">
        <v>42</v>
      </c>
      <c r="F77" t="s">
        <v>43</v>
      </c>
      <c r="G77" t="s">
        <v>68</v>
      </c>
      <c r="H77" s="73" t="s">
        <v>45</v>
      </c>
      <c r="I77" s="73" t="s">
        <v>47</v>
      </c>
      <c r="J77" s="73" t="s">
        <v>47</v>
      </c>
      <c r="K77" s="73" t="s">
        <v>48</v>
      </c>
      <c r="L77" s="73">
        <v>45454</v>
      </c>
      <c r="M77" s="73" t="s">
        <v>57</v>
      </c>
      <c r="N77" s="73" t="s">
        <v>47</v>
      </c>
    </row>
    <row r="78" spans="1:14" x14ac:dyDescent="0.3">
      <c r="A78" t="s">
        <v>651</v>
      </c>
      <c r="B78" s="73" t="s">
        <v>39</v>
      </c>
      <c r="C78" s="73" t="s">
        <v>651</v>
      </c>
      <c r="D78" s="73" t="s">
        <v>655</v>
      </c>
      <c r="E78" t="s">
        <v>42</v>
      </c>
      <c r="F78" t="s">
        <v>43</v>
      </c>
      <c r="G78" t="s">
        <v>68</v>
      </c>
      <c r="H78" s="73" t="s">
        <v>45</v>
      </c>
      <c r="I78" s="73" t="s">
        <v>60</v>
      </c>
      <c r="J78" s="73" t="s">
        <v>47</v>
      </c>
      <c r="K78" s="73" t="s">
        <v>48</v>
      </c>
      <c r="L78" s="73">
        <v>45503</v>
      </c>
      <c r="M78" s="73" t="s">
        <v>57</v>
      </c>
      <c r="N78" s="73" t="s">
        <v>47</v>
      </c>
    </row>
    <row r="79" spans="1:14" x14ac:dyDescent="0.3">
      <c r="A79" t="s">
        <v>651</v>
      </c>
      <c r="B79" s="73" t="s">
        <v>39</v>
      </c>
      <c r="C79" s="73" t="s">
        <v>651</v>
      </c>
      <c r="D79" s="73" t="s">
        <v>656</v>
      </c>
      <c r="E79" t="s">
        <v>42</v>
      </c>
      <c r="F79" t="s">
        <v>54</v>
      </c>
      <c r="G79" t="s">
        <v>44</v>
      </c>
      <c r="H79" s="73" t="s">
        <v>45</v>
      </c>
      <c r="I79" s="73" t="s">
        <v>55</v>
      </c>
      <c r="J79" s="73" t="s">
        <v>47</v>
      </c>
      <c r="K79" s="73" t="s">
        <v>48</v>
      </c>
      <c r="L79" s="73">
        <v>45503</v>
      </c>
      <c r="M79" s="73" t="s">
        <v>57</v>
      </c>
      <c r="N79" s="73" t="s">
        <v>47</v>
      </c>
    </row>
    <row r="80" spans="1:14" x14ac:dyDescent="0.3">
      <c r="A80" t="s">
        <v>651</v>
      </c>
      <c r="B80" s="73" t="s">
        <v>39</v>
      </c>
      <c r="C80" s="73" t="s">
        <v>651</v>
      </c>
      <c r="D80" s="73" t="s">
        <v>657</v>
      </c>
      <c r="E80" t="s">
        <v>42</v>
      </c>
      <c r="F80" t="s">
        <v>54</v>
      </c>
      <c r="G80" t="s">
        <v>44</v>
      </c>
      <c r="H80" s="73" t="s">
        <v>45</v>
      </c>
      <c r="I80" s="73" t="s">
        <v>55</v>
      </c>
      <c r="J80" s="73" t="s">
        <v>47</v>
      </c>
      <c r="K80" s="73" t="s">
        <v>48</v>
      </c>
      <c r="L80" s="73">
        <v>45503</v>
      </c>
      <c r="M80" s="73" t="s">
        <v>57</v>
      </c>
      <c r="N80" s="73" t="s">
        <v>47</v>
      </c>
    </row>
    <row r="81" spans="1:14" x14ac:dyDescent="0.3">
      <c r="A81" t="s">
        <v>651</v>
      </c>
      <c r="B81" s="73" t="s">
        <v>39</v>
      </c>
      <c r="C81" s="73" t="s">
        <v>651</v>
      </c>
      <c r="D81" s="73" t="s">
        <v>658</v>
      </c>
      <c r="E81" t="s">
        <v>42</v>
      </c>
      <c r="F81" t="s">
        <v>54</v>
      </c>
      <c r="G81" t="s">
        <v>44</v>
      </c>
      <c r="H81" s="73" t="s">
        <v>45</v>
      </c>
      <c r="I81" s="73" t="s">
        <v>55</v>
      </c>
      <c r="J81" s="73" t="s">
        <v>47</v>
      </c>
      <c r="K81" s="73" t="s">
        <v>48</v>
      </c>
      <c r="L81" s="73">
        <v>45503</v>
      </c>
      <c r="M81" s="73" t="s">
        <v>57</v>
      </c>
      <c r="N81" s="73" t="s">
        <v>47</v>
      </c>
    </row>
    <row r="82" spans="1:14" x14ac:dyDescent="0.3">
      <c r="A82" t="s">
        <v>651</v>
      </c>
      <c r="B82" s="73" t="s">
        <v>39</v>
      </c>
      <c r="C82" s="73" t="s">
        <v>651</v>
      </c>
      <c r="D82" s="73" t="s">
        <v>659</v>
      </c>
      <c r="E82" t="s">
        <v>42</v>
      </c>
      <c r="F82" t="s">
        <v>43</v>
      </c>
      <c r="G82" t="s">
        <v>44</v>
      </c>
      <c r="H82" s="73" t="s">
        <v>45</v>
      </c>
      <c r="I82" s="73" t="s">
        <v>46</v>
      </c>
      <c r="J82" s="73" t="s">
        <v>47</v>
      </c>
      <c r="K82" s="73" t="s">
        <v>48</v>
      </c>
      <c r="L82" s="73">
        <v>45503</v>
      </c>
      <c r="M82" s="73" t="s">
        <v>57</v>
      </c>
      <c r="N82" s="73" t="s">
        <v>47</v>
      </c>
    </row>
    <row r="83" spans="1:14" x14ac:dyDescent="0.3">
      <c r="A83" t="s">
        <v>651</v>
      </c>
      <c r="B83" s="73" t="s">
        <v>39</v>
      </c>
      <c r="C83" s="73" t="s">
        <v>651</v>
      </c>
      <c r="D83" s="73" t="s">
        <v>660</v>
      </c>
      <c r="E83" t="s">
        <v>42</v>
      </c>
      <c r="F83" t="s">
        <v>43</v>
      </c>
      <c r="G83" t="s">
        <v>44</v>
      </c>
      <c r="H83" s="73" t="s">
        <v>45</v>
      </c>
      <c r="I83" s="73" t="s">
        <v>46</v>
      </c>
      <c r="J83" s="73" t="s">
        <v>47</v>
      </c>
      <c r="K83" s="73" t="s">
        <v>48</v>
      </c>
      <c r="L83" s="73">
        <v>45503</v>
      </c>
      <c r="M83" s="73" t="s">
        <v>57</v>
      </c>
      <c r="N83" s="73" t="s">
        <v>47</v>
      </c>
    </row>
    <row r="84" spans="1:14" x14ac:dyDescent="0.3">
      <c r="A84" t="s">
        <v>651</v>
      </c>
      <c r="B84" s="73" t="s">
        <v>39</v>
      </c>
      <c r="C84" s="73" t="s">
        <v>651</v>
      </c>
      <c r="D84" s="73" t="s">
        <v>661</v>
      </c>
      <c r="E84" t="s">
        <v>42</v>
      </c>
      <c r="F84" t="s">
        <v>43</v>
      </c>
      <c r="G84" t="s">
        <v>44</v>
      </c>
      <c r="H84" s="73" t="s">
        <v>346</v>
      </c>
      <c r="I84" s="73" t="s">
        <v>89</v>
      </c>
      <c r="J84" s="73" t="s">
        <v>90</v>
      </c>
      <c r="K84" s="73" t="s">
        <v>48</v>
      </c>
      <c r="L84" s="73">
        <v>45503</v>
      </c>
      <c r="M84" s="73" t="s">
        <v>57</v>
      </c>
      <c r="N84" s="73" t="s">
        <v>47</v>
      </c>
    </row>
    <row r="85" spans="1:14" x14ac:dyDescent="0.3">
      <c r="A85" t="s">
        <v>651</v>
      </c>
      <c r="B85" s="73" t="s">
        <v>39</v>
      </c>
      <c r="C85" s="73" t="s">
        <v>651</v>
      </c>
      <c r="D85" s="73" t="s">
        <v>662</v>
      </c>
      <c r="E85" t="s">
        <v>42</v>
      </c>
      <c r="F85" t="s">
        <v>43</v>
      </c>
      <c r="G85" t="s">
        <v>44</v>
      </c>
      <c r="H85" s="73" t="s">
        <v>346</v>
      </c>
      <c r="I85" s="73" t="s">
        <v>89</v>
      </c>
      <c r="J85" s="73" t="s">
        <v>90</v>
      </c>
      <c r="K85" s="73" t="s">
        <v>48</v>
      </c>
      <c r="L85" s="73">
        <v>45503</v>
      </c>
      <c r="M85" s="73" t="s">
        <v>57</v>
      </c>
      <c r="N85" s="73" t="s">
        <v>47</v>
      </c>
    </row>
    <row r="86" spans="1:14" x14ac:dyDescent="0.3">
      <c r="A86" t="s">
        <v>651</v>
      </c>
      <c r="B86" s="73" t="s">
        <v>39</v>
      </c>
      <c r="C86" s="73" t="s">
        <v>651</v>
      </c>
      <c r="D86" s="73" t="s">
        <v>663</v>
      </c>
      <c r="E86" t="s">
        <v>42</v>
      </c>
      <c r="F86" t="s">
        <v>43</v>
      </c>
      <c r="G86" t="s">
        <v>44</v>
      </c>
      <c r="H86" s="73" t="s">
        <v>346</v>
      </c>
      <c r="I86" s="73" t="s">
        <v>89</v>
      </c>
      <c r="J86" s="73" t="s">
        <v>90</v>
      </c>
      <c r="K86" s="73" t="s">
        <v>48</v>
      </c>
      <c r="L86" s="73">
        <v>45503</v>
      </c>
      <c r="M86" s="73" t="s">
        <v>57</v>
      </c>
      <c r="N86" s="73" t="s">
        <v>47</v>
      </c>
    </row>
    <row r="87" spans="1:14" x14ac:dyDescent="0.3">
      <c r="A87" t="s">
        <v>651</v>
      </c>
      <c r="B87" s="73" t="s">
        <v>39</v>
      </c>
      <c r="C87" s="73" t="s">
        <v>651</v>
      </c>
      <c r="D87" s="73" t="s">
        <v>664</v>
      </c>
      <c r="E87" t="s">
        <v>42</v>
      </c>
      <c r="F87" t="s">
        <v>43</v>
      </c>
      <c r="G87" t="s">
        <v>44</v>
      </c>
      <c r="H87" s="73" t="s">
        <v>346</v>
      </c>
      <c r="I87" s="73" t="s">
        <v>89</v>
      </c>
      <c r="J87" s="73" t="s">
        <v>90</v>
      </c>
      <c r="K87" s="73" t="s">
        <v>48</v>
      </c>
      <c r="L87" s="73">
        <v>45503</v>
      </c>
      <c r="M87" s="73" t="s">
        <v>57</v>
      </c>
      <c r="N87" s="73" t="s">
        <v>47</v>
      </c>
    </row>
    <row r="88" spans="1:14" x14ac:dyDescent="0.3">
      <c r="A88" t="s">
        <v>651</v>
      </c>
      <c r="B88" s="73" t="s">
        <v>39</v>
      </c>
      <c r="C88" s="73" t="s">
        <v>651</v>
      </c>
      <c r="D88" s="73" t="s">
        <v>665</v>
      </c>
      <c r="E88" t="s">
        <v>42</v>
      </c>
      <c r="F88" t="s">
        <v>43</v>
      </c>
      <c r="G88" t="s">
        <v>68</v>
      </c>
      <c r="H88" s="73" t="s">
        <v>45</v>
      </c>
      <c r="I88" s="73" t="s">
        <v>60</v>
      </c>
      <c r="J88" s="73" t="s">
        <v>47</v>
      </c>
      <c r="K88" s="73" t="s">
        <v>48</v>
      </c>
      <c r="L88" s="73">
        <v>45503</v>
      </c>
      <c r="M88" s="73" t="s">
        <v>57</v>
      </c>
      <c r="N88" s="73" t="s">
        <v>47</v>
      </c>
    </row>
    <row r="89" spans="1:14" x14ac:dyDescent="0.3">
      <c r="A89" t="s">
        <v>651</v>
      </c>
      <c r="B89" s="73" t="s">
        <v>39</v>
      </c>
      <c r="C89" s="73" t="s">
        <v>651</v>
      </c>
      <c r="D89" s="73" t="s">
        <v>666</v>
      </c>
      <c r="E89" t="s">
        <v>42</v>
      </c>
      <c r="F89" t="s">
        <v>43</v>
      </c>
      <c r="G89" t="s">
        <v>44</v>
      </c>
      <c r="H89" s="73" t="s">
        <v>346</v>
      </c>
      <c r="I89" s="73" t="s">
        <v>89</v>
      </c>
      <c r="J89" s="73" t="s">
        <v>90</v>
      </c>
      <c r="K89" s="73" t="s">
        <v>48</v>
      </c>
      <c r="L89" s="73">
        <v>45503</v>
      </c>
      <c r="M89" s="73" t="s">
        <v>57</v>
      </c>
      <c r="N89" s="73" t="s">
        <v>47</v>
      </c>
    </row>
    <row r="90" spans="1:14" x14ac:dyDescent="0.3">
      <c r="A90" t="s">
        <v>653</v>
      </c>
      <c r="B90" s="73" t="s">
        <v>39</v>
      </c>
      <c r="C90" s="73" t="s">
        <v>653</v>
      </c>
      <c r="D90" s="73" t="s">
        <v>655</v>
      </c>
      <c r="E90" t="s">
        <v>42</v>
      </c>
      <c r="F90" t="s">
        <v>43</v>
      </c>
      <c r="G90" t="s">
        <v>68</v>
      </c>
      <c r="H90" s="73" t="s">
        <v>45</v>
      </c>
      <c r="I90" s="73" t="s">
        <v>47</v>
      </c>
      <c r="J90" s="73" t="s">
        <v>47</v>
      </c>
      <c r="K90" s="73" t="s">
        <v>48</v>
      </c>
      <c r="L90" s="73">
        <v>45503</v>
      </c>
      <c r="M90" s="73" t="s">
        <v>57</v>
      </c>
      <c r="N90" s="73" t="s">
        <v>47</v>
      </c>
    </row>
    <row r="91" spans="1:14" x14ac:dyDescent="0.3">
      <c r="A91" t="s">
        <v>653</v>
      </c>
      <c r="B91" s="73" t="s">
        <v>39</v>
      </c>
      <c r="C91" s="73" t="s">
        <v>653</v>
      </c>
      <c r="D91" s="73" t="s">
        <v>667</v>
      </c>
      <c r="E91" t="s">
        <v>42</v>
      </c>
      <c r="F91" t="s">
        <v>54</v>
      </c>
      <c r="G91" t="s">
        <v>44</v>
      </c>
      <c r="H91" s="73" t="s">
        <v>45</v>
      </c>
      <c r="I91" s="73" t="s">
        <v>47</v>
      </c>
      <c r="J91" s="73" t="s">
        <v>47</v>
      </c>
      <c r="K91" s="73" t="s">
        <v>48</v>
      </c>
      <c r="L91" s="73">
        <v>45503</v>
      </c>
      <c r="M91" s="73" t="s">
        <v>57</v>
      </c>
      <c r="N91" s="73" t="s">
        <v>47</v>
      </c>
    </row>
    <row r="92" spans="1:14" x14ac:dyDescent="0.3">
      <c r="A92" t="s">
        <v>653</v>
      </c>
      <c r="B92" s="73" t="s">
        <v>39</v>
      </c>
      <c r="C92" s="73" t="s">
        <v>653</v>
      </c>
      <c r="D92" s="73" t="s">
        <v>668</v>
      </c>
      <c r="E92" t="s">
        <v>42</v>
      </c>
      <c r="F92" t="s">
        <v>54</v>
      </c>
      <c r="G92" t="s">
        <v>68</v>
      </c>
      <c r="H92" s="73" t="s">
        <v>45</v>
      </c>
      <c r="I92" s="73" t="s">
        <v>47</v>
      </c>
      <c r="J92" s="73" t="s">
        <v>47</v>
      </c>
      <c r="K92" s="73" t="s">
        <v>48</v>
      </c>
      <c r="L92" s="73">
        <v>45503</v>
      </c>
      <c r="M92" s="73" t="s">
        <v>57</v>
      </c>
      <c r="N92" s="73" t="s">
        <v>47</v>
      </c>
    </row>
    <row r="93" spans="1:14" x14ac:dyDescent="0.3">
      <c r="A93" t="s">
        <v>653</v>
      </c>
      <c r="B93" s="73" t="s">
        <v>39</v>
      </c>
      <c r="C93" s="73" t="s">
        <v>653</v>
      </c>
      <c r="D93" s="73" t="s">
        <v>669</v>
      </c>
      <c r="E93" t="s">
        <v>42</v>
      </c>
      <c r="F93" t="s">
        <v>54</v>
      </c>
      <c r="G93" t="s">
        <v>44</v>
      </c>
      <c r="H93" s="73" t="s">
        <v>45</v>
      </c>
      <c r="I93" s="73" t="s">
        <v>47</v>
      </c>
      <c r="J93" s="73" t="s">
        <v>47</v>
      </c>
      <c r="K93" s="73" t="s">
        <v>48</v>
      </c>
      <c r="L93" s="73">
        <v>45503</v>
      </c>
      <c r="M93" s="73" t="s">
        <v>57</v>
      </c>
      <c r="N93" s="73" t="s">
        <v>47</v>
      </c>
    </row>
    <row r="94" spans="1:14" x14ac:dyDescent="0.3">
      <c r="A94" t="s">
        <v>653</v>
      </c>
      <c r="B94" s="73" t="s">
        <v>39</v>
      </c>
      <c r="C94" s="73" t="s">
        <v>653</v>
      </c>
      <c r="D94" s="73" t="s">
        <v>670</v>
      </c>
      <c r="E94" t="s">
        <v>42</v>
      </c>
      <c r="F94" t="s">
        <v>43</v>
      </c>
      <c r="G94" t="s">
        <v>44</v>
      </c>
      <c r="H94" s="73" t="s">
        <v>45</v>
      </c>
      <c r="I94" s="73" t="s">
        <v>47</v>
      </c>
      <c r="J94" s="73" t="s">
        <v>47</v>
      </c>
      <c r="K94" s="73" t="s">
        <v>48</v>
      </c>
      <c r="L94" s="73">
        <v>45503</v>
      </c>
      <c r="M94" s="73" t="s">
        <v>57</v>
      </c>
      <c r="N94" s="73" t="s">
        <v>47</v>
      </c>
    </row>
    <row r="95" spans="1:14" x14ac:dyDescent="0.3">
      <c r="A95" t="s">
        <v>653</v>
      </c>
      <c r="B95" s="73" t="s">
        <v>39</v>
      </c>
      <c r="C95" s="73" t="s">
        <v>653</v>
      </c>
      <c r="D95" s="73" t="s">
        <v>656</v>
      </c>
      <c r="E95" t="s">
        <v>42</v>
      </c>
      <c r="F95" t="s">
        <v>43</v>
      </c>
      <c r="G95" t="s">
        <v>44</v>
      </c>
      <c r="H95" s="73" t="s">
        <v>45</v>
      </c>
      <c r="I95" s="73" t="s">
        <v>47</v>
      </c>
      <c r="J95" s="73" t="s">
        <v>47</v>
      </c>
      <c r="K95" s="73" t="s">
        <v>48</v>
      </c>
      <c r="L95" s="73">
        <v>45503</v>
      </c>
      <c r="M95" s="73" t="s">
        <v>57</v>
      </c>
      <c r="N95" s="73" t="s">
        <v>47</v>
      </c>
    </row>
    <row r="96" spans="1:14" x14ac:dyDescent="0.3">
      <c r="A96" t="s">
        <v>653</v>
      </c>
      <c r="B96" s="73" t="s">
        <v>39</v>
      </c>
      <c r="C96" s="73" t="s">
        <v>653</v>
      </c>
      <c r="D96" s="73" t="s">
        <v>657</v>
      </c>
      <c r="E96" t="s">
        <v>42</v>
      </c>
      <c r="F96" t="s">
        <v>43</v>
      </c>
      <c r="G96" t="s">
        <v>44</v>
      </c>
      <c r="H96" s="73" t="s">
        <v>45</v>
      </c>
      <c r="I96" s="73" t="s">
        <v>47</v>
      </c>
      <c r="J96" s="73" t="s">
        <v>47</v>
      </c>
      <c r="K96" s="73" t="s">
        <v>48</v>
      </c>
      <c r="L96" s="73">
        <v>45503</v>
      </c>
      <c r="M96" s="73" t="s">
        <v>57</v>
      </c>
      <c r="N96" s="73" t="s">
        <v>47</v>
      </c>
    </row>
    <row r="97" spans="1:14" x14ac:dyDescent="0.3">
      <c r="A97" t="s">
        <v>653</v>
      </c>
      <c r="B97" s="73" t="s">
        <v>39</v>
      </c>
      <c r="C97" s="73" t="s">
        <v>653</v>
      </c>
      <c r="D97" s="73" t="s">
        <v>659</v>
      </c>
      <c r="E97" t="s">
        <v>42</v>
      </c>
      <c r="F97" t="s">
        <v>43</v>
      </c>
      <c r="G97" t="s">
        <v>44</v>
      </c>
      <c r="H97" s="73" t="s">
        <v>45</v>
      </c>
      <c r="I97" s="73" t="s">
        <v>47</v>
      </c>
      <c r="J97" s="73" t="s">
        <v>47</v>
      </c>
      <c r="K97" s="73" t="s">
        <v>48</v>
      </c>
      <c r="L97" s="73">
        <v>45503</v>
      </c>
      <c r="M97" s="73" t="s">
        <v>57</v>
      </c>
      <c r="N97" s="73" t="s">
        <v>47</v>
      </c>
    </row>
    <row r="98" spans="1:14" x14ac:dyDescent="0.3">
      <c r="A98" t="s">
        <v>653</v>
      </c>
      <c r="B98" s="73" t="s">
        <v>39</v>
      </c>
      <c r="C98" s="73" t="s">
        <v>653</v>
      </c>
      <c r="D98" s="73" t="s">
        <v>658</v>
      </c>
      <c r="E98" t="s">
        <v>42</v>
      </c>
      <c r="F98" t="s">
        <v>43</v>
      </c>
      <c r="G98" t="s">
        <v>44</v>
      </c>
      <c r="H98" s="73" t="s">
        <v>45</v>
      </c>
      <c r="I98" s="73" t="s">
        <v>47</v>
      </c>
      <c r="J98" s="73" t="s">
        <v>47</v>
      </c>
      <c r="K98" s="73" t="s">
        <v>48</v>
      </c>
      <c r="L98" s="73">
        <v>45503</v>
      </c>
      <c r="M98" s="73" t="s">
        <v>57</v>
      </c>
      <c r="N98" s="73" t="s">
        <v>47</v>
      </c>
    </row>
    <row r="99" spans="1:14" x14ac:dyDescent="0.3">
      <c r="A99" t="s">
        <v>653</v>
      </c>
      <c r="B99" s="73" t="s">
        <v>39</v>
      </c>
      <c r="C99" s="73" t="s">
        <v>653</v>
      </c>
      <c r="D99" s="73" t="s">
        <v>671</v>
      </c>
      <c r="E99" t="s">
        <v>42</v>
      </c>
      <c r="F99" t="s">
        <v>43</v>
      </c>
      <c r="G99" t="s">
        <v>44</v>
      </c>
      <c r="H99" s="73" t="s">
        <v>45</v>
      </c>
      <c r="I99" s="73" t="s">
        <v>47</v>
      </c>
      <c r="J99" s="73" t="s">
        <v>47</v>
      </c>
      <c r="K99" s="73" t="s">
        <v>48</v>
      </c>
      <c r="L99" s="73">
        <v>45503</v>
      </c>
      <c r="M99" s="73" t="s">
        <v>57</v>
      </c>
      <c r="N99" s="73" t="s">
        <v>47</v>
      </c>
    </row>
    <row r="100" spans="1:14" x14ac:dyDescent="0.3">
      <c r="A100" t="s">
        <v>653</v>
      </c>
      <c r="B100" s="73" t="s">
        <v>39</v>
      </c>
      <c r="C100" s="73" t="s">
        <v>653</v>
      </c>
      <c r="D100" s="73" t="s">
        <v>660</v>
      </c>
      <c r="E100" t="s">
        <v>42</v>
      </c>
      <c r="F100" t="s">
        <v>43</v>
      </c>
      <c r="G100" t="s">
        <v>44</v>
      </c>
      <c r="H100" s="73" t="s">
        <v>45</v>
      </c>
      <c r="I100" s="73" t="s">
        <v>47</v>
      </c>
      <c r="J100" s="73" t="s">
        <v>47</v>
      </c>
      <c r="K100" s="73" t="s">
        <v>48</v>
      </c>
      <c r="L100" s="73">
        <v>45503</v>
      </c>
      <c r="M100" s="73" t="s">
        <v>57</v>
      </c>
      <c r="N100" s="73" t="s">
        <v>47</v>
      </c>
    </row>
    <row r="101" spans="1:14" x14ac:dyDescent="0.3">
      <c r="A101" t="s">
        <v>653</v>
      </c>
      <c r="B101" s="73" t="s">
        <v>39</v>
      </c>
      <c r="C101" s="73" t="s">
        <v>653</v>
      </c>
      <c r="D101" s="73" t="s">
        <v>672</v>
      </c>
      <c r="E101" t="s">
        <v>42</v>
      </c>
      <c r="F101" t="s">
        <v>43</v>
      </c>
      <c r="G101" t="s">
        <v>68</v>
      </c>
      <c r="H101" s="73" t="s">
        <v>45</v>
      </c>
      <c r="I101" s="73" t="s">
        <v>47</v>
      </c>
      <c r="J101" s="73" t="s">
        <v>47</v>
      </c>
      <c r="K101" s="73" t="s">
        <v>48</v>
      </c>
      <c r="L101" s="73">
        <v>45503</v>
      </c>
      <c r="M101" s="73" t="s">
        <v>57</v>
      </c>
      <c r="N101" s="73" t="s">
        <v>47</v>
      </c>
    </row>
    <row r="102" spans="1:14" x14ac:dyDescent="0.3">
      <c r="A102" t="s">
        <v>653</v>
      </c>
      <c r="B102" s="73" t="s">
        <v>39</v>
      </c>
      <c r="C102" s="73" t="s">
        <v>653</v>
      </c>
      <c r="D102" s="73" t="s">
        <v>673</v>
      </c>
      <c r="E102" t="s">
        <v>42</v>
      </c>
      <c r="F102" t="s">
        <v>43</v>
      </c>
      <c r="G102" t="s">
        <v>68</v>
      </c>
      <c r="H102" s="73" t="s">
        <v>45</v>
      </c>
      <c r="I102" s="73" t="s">
        <v>47</v>
      </c>
      <c r="J102" s="73" t="s">
        <v>47</v>
      </c>
      <c r="K102" s="73" t="s">
        <v>48</v>
      </c>
      <c r="L102" s="73">
        <v>45503</v>
      </c>
      <c r="M102" s="73" t="s">
        <v>57</v>
      </c>
      <c r="N102" s="73" t="s">
        <v>47</v>
      </c>
    </row>
    <row r="103" spans="1:14" x14ac:dyDescent="0.3">
      <c r="A103" t="s">
        <v>653</v>
      </c>
      <c r="B103" s="73" t="s">
        <v>39</v>
      </c>
      <c r="C103" s="73" t="s">
        <v>653</v>
      </c>
      <c r="D103" s="73" t="s">
        <v>674</v>
      </c>
      <c r="E103" t="s">
        <v>42</v>
      </c>
      <c r="F103" t="s">
        <v>43</v>
      </c>
      <c r="G103" t="s">
        <v>68</v>
      </c>
      <c r="H103" s="73" t="s">
        <v>45</v>
      </c>
      <c r="I103" s="73" t="s">
        <v>47</v>
      </c>
      <c r="J103" s="73" t="s">
        <v>47</v>
      </c>
      <c r="K103" s="73" t="s">
        <v>48</v>
      </c>
      <c r="L103" s="73">
        <v>45503</v>
      </c>
      <c r="M103" s="73" t="s">
        <v>57</v>
      </c>
      <c r="N103" s="73" t="s">
        <v>47</v>
      </c>
    </row>
    <row r="104" spans="1:14" x14ac:dyDescent="0.3">
      <c r="A104" t="s">
        <v>653</v>
      </c>
      <c r="B104" s="73" t="s">
        <v>39</v>
      </c>
      <c r="C104" s="73" t="s">
        <v>653</v>
      </c>
      <c r="D104" s="73" t="s">
        <v>675</v>
      </c>
      <c r="E104" t="s">
        <v>42</v>
      </c>
      <c r="F104" t="s">
        <v>43</v>
      </c>
      <c r="G104" t="s">
        <v>44</v>
      </c>
      <c r="H104" s="73" t="s">
        <v>346</v>
      </c>
      <c r="I104" s="73" t="s">
        <v>89</v>
      </c>
      <c r="J104" s="73" t="s">
        <v>90</v>
      </c>
      <c r="K104" s="73" t="s">
        <v>52</v>
      </c>
      <c r="L104" s="73">
        <v>45503</v>
      </c>
      <c r="M104" s="73" t="s">
        <v>57</v>
      </c>
      <c r="N104" s="73" t="s">
        <v>47</v>
      </c>
    </row>
    <row r="105" spans="1:14" x14ac:dyDescent="0.3">
      <c r="A105" t="s">
        <v>653</v>
      </c>
      <c r="B105" s="73" t="s">
        <v>39</v>
      </c>
      <c r="C105" s="73" t="s">
        <v>653</v>
      </c>
      <c r="D105" s="73" t="s">
        <v>676</v>
      </c>
      <c r="E105" t="s">
        <v>42</v>
      </c>
      <c r="F105" t="s">
        <v>43</v>
      </c>
      <c r="G105" t="s">
        <v>44</v>
      </c>
      <c r="H105" s="73" t="s">
        <v>346</v>
      </c>
      <c r="I105" s="73" t="s">
        <v>89</v>
      </c>
      <c r="J105" s="73" t="s">
        <v>90</v>
      </c>
      <c r="K105" s="73" t="s">
        <v>52</v>
      </c>
      <c r="L105" s="73">
        <v>45503</v>
      </c>
      <c r="M105" s="73" t="s">
        <v>57</v>
      </c>
      <c r="N105" s="73" t="s">
        <v>47</v>
      </c>
    </row>
    <row r="106" spans="1:14" x14ac:dyDescent="0.3">
      <c r="A106" t="s">
        <v>653</v>
      </c>
      <c r="B106" s="73" t="s">
        <v>39</v>
      </c>
      <c r="C106" s="73" t="s">
        <v>653</v>
      </c>
      <c r="D106" s="73" t="s">
        <v>677</v>
      </c>
      <c r="E106" t="s">
        <v>42</v>
      </c>
      <c r="F106" t="s">
        <v>43</v>
      </c>
      <c r="G106" t="s">
        <v>44</v>
      </c>
      <c r="H106" s="73" t="s">
        <v>45</v>
      </c>
      <c r="I106" s="73" t="s">
        <v>47</v>
      </c>
      <c r="J106" s="73" t="s">
        <v>47</v>
      </c>
      <c r="K106" s="73" t="s">
        <v>48</v>
      </c>
      <c r="L106" s="73">
        <v>45503</v>
      </c>
      <c r="M106" s="73" t="s">
        <v>57</v>
      </c>
      <c r="N106" s="73" t="s">
        <v>47</v>
      </c>
    </row>
    <row r="107" spans="1:14" x14ac:dyDescent="0.3">
      <c r="A107" t="s">
        <v>653</v>
      </c>
      <c r="B107" s="73" t="s">
        <v>39</v>
      </c>
      <c r="C107" s="73" t="s">
        <v>653</v>
      </c>
      <c r="D107" s="73" t="s">
        <v>678</v>
      </c>
      <c r="E107" t="s">
        <v>42</v>
      </c>
      <c r="F107" t="s">
        <v>43</v>
      </c>
      <c r="G107" t="s">
        <v>68</v>
      </c>
      <c r="H107" s="73" t="s">
        <v>45</v>
      </c>
      <c r="I107" s="73" t="s">
        <v>47</v>
      </c>
      <c r="J107" s="73" t="s">
        <v>47</v>
      </c>
      <c r="K107" s="73" t="s">
        <v>48</v>
      </c>
      <c r="L107" s="73">
        <v>45503</v>
      </c>
      <c r="M107" s="73" t="s">
        <v>57</v>
      </c>
      <c r="N107" s="73" t="s">
        <v>47</v>
      </c>
    </row>
    <row r="108" spans="1:14" x14ac:dyDescent="0.3">
      <c r="A108" t="s">
        <v>653</v>
      </c>
      <c r="B108" s="73" t="s">
        <v>39</v>
      </c>
      <c r="C108" s="73" t="s">
        <v>653</v>
      </c>
      <c r="D108" s="73" t="s">
        <v>679</v>
      </c>
      <c r="E108" t="s">
        <v>42</v>
      </c>
      <c r="F108" t="s">
        <v>43</v>
      </c>
      <c r="G108" t="s">
        <v>44</v>
      </c>
      <c r="H108" s="73" t="s">
        <v>45</v>
      </c>
      <c r="I108" s="73" t="s">
        <v>47</v>
      </c>
      <c r="J108" s="73" t="s">
        <v>47</v>
      </c>
      <c r="K108" s="73" t="s">
        <v>48</v>
      </c>
      <c r="L108" s="73">
        <v>45503</v>
      </c>
      <c r="M108" s="73" t="s">
        <v>57</v>
      </c>
      <c r="N108" s="73" t="s">
        <v>47</v>
      </c>
    </row>
    <row r="109" spans="1:14" x14ac:dyDescent="0.3">
      <c r="A109" t="s">
        <v>653</v>
      </c>
      <c r="B109" s="73" t="s">
        <v>39</v>
      </c>
      <c r="C109" s="73" t="s">
        <v>653</v>
      </c>
      <c r="D109" s="73" t="s">
        <v>680</v>
      </c>
      <c r="E109" t="s">
        <v>42</v>
      </c>
      <c r="F109" t="s">
        <v>43</v>
      </c>
      <c r="G109" t="s">
        <v>44</v>
      </c>
      <c r="H109" s="73" t="s">
        <v>45</v>
      </c>
      <c r="I109" s="73" t="s">
        <v>47</v>
      </c>
      <c r="J109" s="73" t="s">
        <v>47</v>
      </c>
      <c r="K109" s="73" t="s">
        <v>48</v>
      </c>
      <c r="L109" s="73">
        <v>45503</v>
      </c>
      <c r="M109" s="73" t="s">
        <v>57</v>
      </c>
      <c r="N109" s="73" t="s">
        <v>47</v>
      </c>
    </row>
    <row r="110" spans="1:14" x14ac:dyDescent="0.3">
      <c r="A110" t="s">
        <v>653</v>
      </c>
      <c r="B110" s="73" t="s">
        <v>39</v>
      </c>
      <c r="C110" s="73" t="s">
        <v>653</v>
      </c>
      <c r="D110" s="73" t="s">
        <v>681</v>
      </c>
      <c r="E110" t="s">
        <v>42</v>
      </c>
      <c r="F110" t="s">
        <v>54</v>
      </c>
      <c r="G110" t="s">
        <v>44</v>
      </c>
      <c r="H110" s="73" t="s">
        <v>45</v>
      </c>
      <c r="I110" s="73" t="s">
        <v>47</v>
      </c>
      <c r="J110" s="73" t="s">
        <v>47</v>
      </c>
      <c r="K110" s="73" t="s">
        <v>48</v>
      </c>
      <c r="L110" s="73">
        <v>45503</v>
      </c>
      <c r="M110" s="73" t="s">
        <v>57</v>
      </c>
      <c r="N110" s="73" t="s">
        <v>47</v>
      </c>
    </row>
    <row r="111" spans="1:14" x14ac:dyDescent="0.3">
      <c r="A111" t="s">
        <v>653</v>
      </c>
      <c r="B111" s="73" t="s">
        <v>39</v>
      </c>
      <c r="C111" s="73" t="s">
        <v>653</v>
      </c>
      <c r="D111" s="73" t="s">
        <v>682</v>
      </c>
      <c r="E111" t="s">
        <v>42</v>
      </c>
      <c r="F111" t="s">
        <v>43</v>
      </c>
      <c r="G111" t="s">
        <v>68</v>
      </c>
      <c r="H111" s="73" t="s">
        <v>45</v>
      </c>
      <c r="I111" s="73" t="s">
        <v>47</v>
      </c>
      <c r="J111" s="73" t="s">
        <v>47</v>
      </c>
      <c r="K111" s="73" t="s">
        <v>48</v>
      </c>
      <c r="L111" s="73">
        <v>45503</v>
      </c>
      <c r="M111" s="73" t="s">
        <v>57</v>
      </c>
      <c r="N111" s="73" t="s">
        <v>47</v>
      </c>
    </row>
    <row r="112" spans="1:14" x14ac:dyDescent="0.3">
      <c r="A112" t="s">
        <v>653</v>
      </c>
      <c r="B112" s="73" t="s">
        <v>39</v>
      </c>
      <c r="C112" s="73" t="s">
        <v>653</v>
      </c>
      <c r="D112" s="73" t="s">
        <v>683</v>
      </c>
      <c r="E112" t="s">
        <v>42</v>
      </c>
      <c r="F112" t="s">
        <v>43</v>
      </c>
      <c r="G112" t="s">
        <v>68</v>
      </c>
      <c r="H112" s="73" t="s">
        <v>45</v>
      </c>
      <c r="I112" s="73" t="s">
        <v>47</v>
      </c>
      <c r="J112" s="73" t="s">
        <v>47</v>
      </c>
      <c r="K112" s="73" t="s">
        <v>52</v>
      </c>
      <c r="L112" s="73">
        <v>45503</v>
      </c>
      <c r="M112" s="73" t="s">
        <v>57</v>
      </c>
      <c r="N112" s="73" t="s">
        <v>47</v>
      </c>
    </row>
    <row r="113" spans="1:14" x14ac:dyDescent="0.3">
      <c r="A113" t="s">
        <v>653</v>
      </c>
      <c r="B113" s="73" t="s">
        <v>39</v>
      </c>
      <c r="C113" s="73" t="s">
        <v>653</v>
      </c>
      <c r="D113" s="73" t="s">
        <v>684</v>
      </c>
      <c r="E113" t="s">
        <v>42</v>
      </c>
      <c r="F113" t="s">
        <v>43</v>
      </c>
      <c r="G113" t="s">
        <v>44</v>
      </c>
      <c r="H113" s="73" t="s">
        <v>45</v>
      </c>
      <c r="I113" s="73" t="s">
        <v>47</v>
      </c>
      <c r="J113" s="73" t="s">
        <v>47</v>
      </c>
      <c r="K113" s="73" t="s">
        <v>48</v>
      </c>
      <c r="L113" s="73">
        <v>45503</v>
      </c>
      <c r="M113" s="73" t="s">
        <v>57</v>
      </c>
      <c r="N113" s="73" t="s">
        <v>47</v>
      </c>
    </row>
    <row r="114" spans="1:14" x14ac:dyDescent="0.3">
      <c r="A114" t="s">
        <v>653</v>
      </c>
      <c r="B114" s="73" t="s">
        <v>39</v>
      </c>
      <c r="C114" s="73" t="s">
        <v>653</v>
      </c>
      <c r="D114" s="73" t="s">
        <v>685</v>
      </c>
      <c r="E114" t="s">
        <v>42</v>
      </c>
      <c r="F114" t="s">
        <v>43</v>
      </c>
      <c r="G114" t="s">
        <v>44</v>
      </c>
      <c r="H114" s="73" t="s">
        <v>45</v>
      </c>
      <c r="I114" s="73" t="s">
        <v>47</v>
      </c>
      <c r="J114" s="73" t="s">
        <v>47</v>
      </c>
      <c r="K114" s="73" t="s">
        <v>52</v>
      </c>
      <c r="L114" s="73">
        <v>45503</v>
      </c>
      <c r="M114" s="73" t="s">
        <v>57</v>
      </c>
      <c r="N114" s="73" t="s">
        <v>47</v>
      </c>
    </row>
    <row r="115" spans="1:14" x14ac:dyDescent="0.3">
      <c r="A115" t="s">
        <v>653</v>
      </c>
      <c r="B115" s="73" t="s">
        <v>39</v>
      </c>
      <c r="C115" s="73" t="s">
        <v>653</v>
      </c>
      <c r="D115" s="73" t="s">
        <v>686</v>
      </c>
      <c r="E115" t="s">
        <v>42</v>
      </c>
      <c r="F115" t="s">
        <v>43</v>
      </c>
      <c r="G115" t="s">
        <v>44</v>
      </c>
      <c r="H115" s="73" t="s">
        <v>45</v>
      </c>
      <c r="I115" s="73" t="s">
        <v>47</v>
      </c>
      <c r="J115" s="73" t="s">
        <v>47</v>
      </c>
      <c r="K115" s="73" t="s">
        <v>52</v>
      </c>
      <c r="L115" s="73">
        <v>45503</v>
      </c>
      <c r="M115" s="73" t="s">
        <v>57</v>
      </c>
      <c r="N115" s="73" t="s">
        <v>47</v>
      </c>
    </row>
    <row r="116" spans="1:14" x14ac:dyDescent="0.3">
      <c r="A116" t="s">
        <v>653</v>
      </c>
      <c r="B116" s="73" t="s">
        <v>39</v>
      </c>
      <c r="C116" s="73" t="s">
        <v>653</v>
      </c>
      <c r="D116" s="73" t="s">
        <v>687</v>
      </c>
      <c r="E116" t="s">
        <v>42</v>
      </c>
      <c r="F116" t="s">
        <v>43</v>
      </c>
      <c r="G116" t="s">
        <v>68</v>
      </c>
      <c r="H116" s="73" t="s">
        <v>45</v>
      </c>
      <c r="I116" s="73" t="s">
        <v>47</v>
      </c>
      <c r="J116" s="73" t="s">
        <v>47</v>
      </c>
      <c r="K116" s="73" t="s">
        <v>52</v>
      </c>
      <c r="L116" s="73">
        <v>45503</v>
      </c>
      <c r="M116" s="73" t="s">
        <v>57</v>
      </c>
      <c r="N116" s="73" t="s">
        <v>47</v>
      </c>
    </row>
    <row r="117" spans="1:14" x14ac:dyDescent="0.3">
      <c r="A117" t="s">
        <v>653</v>
      </c>
      <c r="B117" s="73" t="s">
        <v>39</v>
      </c>
      <c r="C117" s="73" t="s">
        <v>653</v>
      </c>
      <c r="D117" s="73" t="s">
        <v>688</v>
      </c>
      <c r="E117" t="s">
        <v>42</v>
      </c>
      <c r="F117" t="s">
        <v>43</v>
      </c>
      <c r="G117" t="s">
        <v>44</v>
      </c>
      <c r="H117" s="73" t="s">
        <v>45</v>
      </c>
      <c r="I117" s="73" t="s">
        <v>47</v>
      </c>
      <c r="J117" s="73" t="s">
        <v>47</v>
      </c>
      <c r="K117" s="73" t="s">
        <v>48</v>
      </c>
      <c r="L117" s="73">
        <v>45503</v>
      </c>
      <c r="M117" s="73" t="s">
        <v>57</v>
      </c>
      <c r="N117" s="73" t="s">
        <v>47</v>
      </c>
    </row>
    <row r="118" spans="1:14" x14ac:dyDescent="0.3">
      <c r="A118" t="s">
        <v>653</v>
      </c>
      <c r="B118" s="73" t="s">
        <v>39</v>
      </c>
      <c r="C118" s="73" t="s">
        <v>653</v>
      </c>
      <c r="D118" s="73" t="s">
        <v>689</v>
      </c>
      <c r="E118" t="s">
        <v>42</v>
      </c>
      <c r="F118" t="s">
        <v>43</v>
      </c>
      <c r="G118" t="s">
        <v>44</v>
      </c>
      <c r="H118" s="73" t="s">
        <v>45</v>
      </c>
      <c r="I118" s="73" t="s">
        <v>47</v>
      </c>
      <c r="J118" s="73" t="s">
        <v>47</v>
      </c>
      <c r="K118" s="73" t="s">
        <v>48</v>
      </c>
      <c r="L118" s="73">
        <v>45503</v>
      </c>
      <c r="M118" s="73" t="s">
        <v>57</v>
      </c>
      <c r="N118" s="73" t="s">
        <v>47</v>
      </c>
    </row>
    <row r="119" spans="1:14" x14ac:dyDescent="0.3">
      <c r="A119" t="s">
        <v>653</v>
      </c>
      <c r="B119" s="73" t="s">
        <v>39</v>
      </c>
      <c r="C119" s="73" t="s">
        <v>653</v>
      </c>
      <c r="D119" s="73" t="s">
        <v>690</v>
      </c>
      <c r="E119" t="s">
        <v>42</v>
      </c>
      <c r="F119" t="s">
        <v>43</v>
      </c>
      <c r="G119" t="s">
        <v>44</v>
      </c>
      <c r="H119" s="73" t="s">
        <v>45</v>
      </c>
      <c r="I119" s="73" t="s">
        <v>47</v>
      </c>
      <c r="J119" s="73" t="s">
        <v>47</v>
      </c>
      <c r="K119" s="73" t="s">
        <v>48</v>
      </c>
      <c r="L119" s="73">
        <v>45503</v>
      </c>
      <c r="M119" s="73" t="s">
        <v>57</v>
      </c>
      <c r="N119" s="73" t="s">
        <v>47</v>
      </c>
    </row>
    <row r="120" spans="1:14" x14ac:dyDescent="0.3">
      <c r="A120" t="s">
        <v>653</v>
      </c>
      <c r="B120" s="73" t="s">
        <v>39</v>
      </c>
      <c r="C120" s="73" t="s">
        <v>653</v>
      </c>
      <c r="D120" s="73" t="s">
        <v>691</v>
      </c>
      <c r="E120" t="s">
        <v>42</v>
      </c>
      <c r="F120" t="s">
        <v>43</v>
      </c>
      <c r="G120" t="s">
        <v>68</v>
      </c>
      <c r="H120" s="73" t="s">
        <v>45</v>
      </c>
      <c r="I120" s="73" t="s">
        <v>47</v>
      </c>
      <c r="J120" s="73" t="s">
        <v>47</v>
      </c>
      <c r="K120" s="73" t="s">
        <v>48</v>
      </c>
      <c r="L120" s="73">
        <v>45503</v>
      </c>
      <c r="M120" s="73" t="s">
        <v>57</v>
      </c>
      <c r="N120" s="73" t="s">
        <v>47</v>
      </c>
    </row>
    <row r="121" spans="1:14" x14ac:dyDescent="0.3">
      <c r="A121" t="s">
        <v>653</v>
      </c>
      <c r="B121" s="73" t="s">
        <v>39</v>
      </c>
      <c r="C121" s="73" t="s">
        <v>653</v>
      </c>
      <c r="D121" s="73" t="s">
        <v>692</v>
      </c>
      <c r="E121" t="s">
        <v>42</v>
      </c>
      <c r="F121" t="s">
        <v>43</v>
      </c>
      <c r="G121" t="s">
        <v>68</v>
      </c>
      <c r="H121" s="73" t="s">
        <v>45</v>
      </c>
      <c r="I121" s="73" t="s">
        <v>47</v>
      </c>
      <c r="J121" s="73" t="s">
        <v>47</v>
      </c>
      <c r="K121" s="73" t="s">
        <v>48</v>
      </c>
      <c r="L121" s="73">
        <v>45503</v>
      </c>
      <c r="M121" s="73" t="s">
        <v>57</v>
      </c>
      <c r="N121" s="73" t="s">
        <v>47</v>
      </c>
    </row>
    <row r="122" spans="1:14" x14ac:dyDescent="0.3">
      <c r="A122" t="s">
        <v>653</v>
      </c>
      <c r="B122" s="73" t="s">
        <v>39</v>
      </c>
      <c r="C122" s="73" t="s">
        <v>653</v>
      </c>
      <c r="D122" s="73" t="s">
        <v>693</v>
      </c>
      <c r="E122" t="s">
        <v>42</v>
      </c>
      <c r="F122" t="s">
        <v>43</v>
      </c>
      <c r="G122" t="s">
        <v>68</v>
      </c>
      <c r="H122" s="73" t="s">
        <v>45</v>
      </c>
      <c r="I122" s="73" t="s">
        <v>47</v>
      </c>
      <c r="J122" s="73" t="s">
        <v>47</v>
      </c>
      <c r="K122" s="73" t="s">
        <v>48</v>
      </c>
      <c r="L122" s="73">
        <v>45503</v>
      </c>
      <c r="M122" s="73" t="s">
        <v>57</v>
      </c>
      <c r="N122" s="73" t="s">
        <v>47</v>
      </c>
    </row>
    <row r="123" spans="1:14" x14ac:dyDescent="0.3">
      <c r="A123" t="s">
        <v>653</v>
      </c>
      <c r="B123" s="73" t="s">
        <v>39</v>
      </c>
      <c r="C123" s="73" t="s">
        <v>653</v>
      </c>
      <c r="D123" s="73" t="s">
        <v>694</v>
      </c>
      <c r="E123" t="s">
        <v>42</v>
      </c>
      <c r="F123" t="s">
        <v>43</v>
      </c>
      <c r="G123" t="s">
        <v>68</v>
      </c>
      <c r="H123" s="73" t="s">
        <v>45</v>
      </c>
      <c r="I123" s="73" t="s">
        <v>47</v>
      </c>
      <c r="J123" s="73" t="s">
        <v>47</v>
      </c>
      <c r="K123" s="73" t="s">
        <v>48</v>
      </c>
      <c r="L123" s="73">
        <v>45503</v>
      </c>
      <c r="M123" s="73" t="s">
        <v>57</v>
      </c>
      <c r="N123" s="73" t="s">
        <v>47</v>
      </c>
    </row>
    <row r="124" spans="1:14" x14ac:dyDescent="0.3">
      <c r="A124" t="s">
        <v>653</v>
      </c>
      <c r="B124" s="73" t="s">
        <v>39</v>
      </c>
      <c r="C124" s="73" t="s">
        <v>653</v>
      </c>
      <c r="D124" s="73" t="s">
        <v>695</v>
      </c>
      <c r="E124" t="s">
        <v>42</v>
      </c>
      <c r="F124" t="s">
        <v>43</v>
      </c>
      <c r="G124" t="s">
        <v>68</v>
      </c>
      <c r="H124" s="73" t="s">
        <v>45</v>
      </c>
      <c r="I124" s="73" t="s">
        <v>47</v>
      </c>
      <c r="J124" s="73" t="s">
        <v>47</v>
      </c>
      <c r="K124" s="73" t="s">
        <v>48</v>
      </c>
      <c r="L124" s="73">
        <v>45503</v>
      </c>
      <c r="M124" s="73" t="s">
        <v>57</v>
      </c>
      <c r="N124" s="73" t="s">
        <v>47</v>
      </c>
    </row>
    <row r="125" spans="1:14" x14ac:dyDescent="0.3">
      <c r="A125" t="s">
        <v>653</v>
      </c>
      <c r="B125" s="73" t="s">
        <v>39</v>
      </c>
      <c r="C125" s="73" t="s">
        <v>653</v>
      </c>
      <c r="D125" s="73" t="s">
        <v>696</v>
      </c>
      <c r="E125" t="s">
        <v>42</v>
      </c>
      <c r="F125" t="s">
        <v>43</v>
      </c>
      <c r="G125" t="s">
        <v>68</v>
      </c>
      <c r="H125" s="73" t="s">
        <v>45</v>
      </c>
      <c r="I125" s="73" t="s">
        <v>47</v>
      </c>
      <c r="J125" s="73" t="s">
        <v>47</v>
      </c>
      <c r="K125" s="73" t="s">
        <v>48</v>
      </c>
      <c r="L125" s="73">
        <v>45503</v>
      </c>
      <c r="M125" s="73" t="s">
        <v>57</v>
      </c>
      <c r="N125" s="73" t="s">
        <v>47</v>
      </c>
    </row>
    <row r="126" spans="1:14" x14ac:dyDescent="0.3">
      <c r="A126" t="s">
        <v>653</v>
      </c>
      <c r="B126" s="73" t="s">
        <v>39</v>
      </c>
      <c r="C126" s="73" t="s">
        <v>653</v>
      </c>
      <c r="D126" s="73" t="s">
        <v>697</v>
      </c>
      <c r="E126" t="s">
        <v>42</v>
      </c>
      <c r="F126" t="s">
        <v>43</v>
      </c>
      <c r="G126" t="s">
        <v>44</v>
      </c>
      <c r="H126" s="73" t="s">
        <v>45</v>
      </c>
      <c r="I126" s="73" t="s">
        <v>47</v>
      </c>
      <c r="J126" s="73" t="s">
        <v>47</v>
      </c>
      <c r="K126" s="73" t="s">
        <v>48</v>
      </c>
      <c r="L126" s="73">
        <v>45503</v>
      </c>
      <c r="M126" s="73" t="s">
        <v>57</v>
      </c>
      <c r="N126" s="73" t="s">
        <v>47</v>
      </c>
    </row>
    <row r="127" spans="1:14" x14ac:dyDescent="0.3">
      <c r="A127" t="s">
        <v>653</v>
      </c>
      <c r="B127" s="73" t="s">
        <v>39</v>
      </c>
      <c r="C127" s="73" t="s">
        <v>653</v>
      </c>
      <c r="D127" s="73" t="s">
        <v>698</v>
      </c>
      <c r="E127" t="s">
        <v>42</v>
      </c>
      <c r="F127" t="s">
        <v>43</v>
      </c>
      <c r="G127" t="s">
        <v>68</v>
      </c>
      <c r="H127" s="73" t="s">
        <v>45</v>
      </c>
      <c r="I127" s="73" t="s">
        <v>47</v>
      </c>
      <c r="J127" s="73" t="s">
        <v>47</v>
      </c>
      <c r="K127" s="73" t="s">
        <v>48</v>
      </c>
      <c r="L127" s="73">
        <v>45503</v>
      </c>
      <c r="M127" s="73" t="s">
        <v>57</v>
      </c>
      <c r="N127" s="73" t="s">
        <v>47</v>
      </c>
    </row>
    <row r="128" spans="1:14" x14ac:dyDescent="0.3">
      <c r="A128" t="s">
        <v>653</v>
      </c>
      <c r="B128" s="73" t="s">
        <v>39</v>
      </c>
      <c r="C128" s="73" t="s">
        <v>653</v>
      </c>
      <c r="D128" s="73" t="s">
        <v>699</v>
      </c>
      <c r="E128" t="s">
        <v>42</v>
      </c>
      <c r="F128" t="s">
        <v>43</v>
      </c>
      <c r="G128" t="s">
        <v>44</v>
      </c>
      <c r="H128" s="73" t="s">
        <v>45</v>
      </c>
      <c r="I128" s="73" t="s">
        <v>47</v>
      </c>
      <c r="J128" s="73" t="s">
        <v>47</v>
      </c>
      <c r="K128" s="73" t="s">
        <v>52</v>
      </c>
      <c r="L128" s="73">
        <v>45503</v>
      </c>
      <c r="M128" s="73" t="s">
        <v>57</v>
      </c>
      <c r="N128" s="73" t="s">
        <v>47</v>
      </c>
    </row>
    <row r="129" spans="1:14" x14ac:dyDescent="0.3">
      <c r="A129" t="s">
        <v>653</v>
      </c>
      <c r="B129" s="73" t="s">
        <v>39</v>
      </c>
      <c r="C129" s="73" t="s">
        <v>653</v>
      </c>
      <c r="D129" s="73" t="s">
        <v>700</v>
      </c>
      <c r="E129" t="s">
        <v>42</v>
      </c>
      <c r="F129" t="s">
        <v>43</v>
      </c>
      <c r="G129" t="s">
        <v>44</v>
      </c>
      <c r="H129" s="73" t="s">
        <v>346</v>
      </c>
      <c r="I129" s="73" t="s">
        <v>89</v>
      </c>
      <c r="J129" s="73" t="s">
        <v>90</v>
      </c>
      <c r="K129" s="73" t="s">
        <v>52</v>
      </c>
      <c r="L129" s="73">
        <v>45503</v>
      </c>
      <c r="M129" s="73" t="s">
        <v>57</v>
      </c>
      <c r="N129" s="73" t="s">
        <v>47</v>
      </c>
    </row>
    <row r="130" spans="1:14" x14ac:dyDescent="0.3">
      <c r="A130" t="s">
        <v>653</v>
      </c>
      <c r="B130" s="73" t="s">
        <v>39</v>
      </c>
      <c r="C130" s="73" t="s">
        <v>653</v>
      </c>
      <c r="D130" s="73" t="s">
        <v>701</v>
      </c>
      <c r="E130" t="s">
        <v>42</v>
      </c>
      <c r="F130" t="s">
        <v>43</v>
      </c>
      <c r="G130" t="s">
        <v>44</v>
      </c>
      <c r="H130" s="73" t="s">
        <v>346</v>
      </c>
      <c r="I130" s="73" t="s">
        <v>89</v>
      </c>
      <c r="J130" s="73" t="s">
        <v>90</v>
      </c>
      <c r="K130" s="73" t="s">
        <v>52</v>
      </c>
      <c r="L130" s="73">
        <v>45503</v>
      </c>
      <c r="M130" s="73" t="s">
        <v>57</v>
      </c>
      <c r="N130" s="73" t="s">
        <v>47</v>
      </c>
    </row>
    <row r="131" spans="1:14" x14ac:dyDescent="0.3">
      <c r="A131" t="s">
        <v>653</v>
      </c>
      <c r="B131" s="73" t="s">
        <v>39</v>
      </c>
      <c r="C131" s="73" t="s">
        <v>653</v>
      </c>
      <c r="D131" s="73" t="s">
        <v>702</v>
      </c>
      <c r="E131" t="s">
        <v>42</v>
      </c>
      <c r="F131" t="s">
        <v>43</v>
      </c>
      <c r="G131" t="s">
        <v>44</v>
      </c>
      <c r="H131" s="73" t="s">
        <v>346</v>
      </c>
      <c r="I131" s="73" t="s">
        <v>89</v>
      </c>
      <c r="J131" s="73" t="s">
        <v>90</v>
      </c>
      <c r="K131" s="73" t="s">
        <v>52</v>
      </c>
      <c r="L131" s="73">
        <v>45503</v>
      </c>
      <c r="M131" s="73" t="s">
        <v>57</v>
      </c>
      <c r="N131" s="73" t="s">
        <v>47</v>
      </c>
    </row>
    <row r="132" spans="1:14" x14ac:dyDescent="0.3">
      <c r="A132" t="s">
        <v>653</v>
      </c>
      <c r="B132" s="73" t="s">
        <v>39</v>
      </c>
      <c r="C132" s="73" t="s">
        <v>653</v>
      </c>
      <c r="D132" s="73" t="s">
        <v>703</v>
      </c>
      <c r="E132" t="s">
        <v>42</v>
      </c>
      <c r="F132" t="s">
        <v>43</v>
      </c>
      <c r="G132" t="s">
        <v>44</v>
      </c>
      <c r="H132" s="73" t="s">
        <v>346</v>
      </c>
      <c r="I132" s="73" t="s">
        <v>89</v>
      </c>
      <c r="J132" s="73" t="s">
        <v>90</v>
      </c>
      <c r="K132" s="73" t="s">
        <v>52</v>
      </c>
      <c r="L132" s="73">
        <v>45503</v>
      </c>
      <c r="M132" s="73" t="s">
        <v>57</v>
      </c>
      <c r="N132" s="73" t="s">
        <v>47</v>
      </c>
    </row>
    <row r="133" spans="1:14" x14ac:dyDescent="0.3">
      <c r="A133" t="s">
        <v>653</v>
      </c>
      <c r="B133" s="73" t="s">
        <v>39</v>
      </c>
      <c r="C133" s="73" t="s">
        <v>653</v>
      </c>
      <c r="D133" s="73" t="s">
        <v>704</v>
      </c>
      <c r="E133" t="s">
        <v>42</v>
      </c>
      <c r="F133" t="s">
        <v>43</v>
      </c>
      <c r="G133" t="s">
        <v>44</v>
      </c>
      <c r="H133" s="73" t="s">
        <v>346</v>
      </c>
      <c r="I133" s="73" t="s">
        <v>89</v>
      </c>
      <c r="J133" s="73" t="s">
        <v>90</v>
      </c>
      <c r="K133" s="73" t="s">
        <v>52</v>
      </c>
      <c r="L133" s="73">
        <v>45503</v>
      </c>
      <c r="M133" s="73" t="s">
        <v>57</v>
      </c>
      <c r="N133" s="73" t="s">
        <v>47</v>
      </c>
    </row>
    <row r="134" spans="1:14" x14ac:dyDescent="0.3">
      <c r="A134" t="s">
        <v>653</v>
      </c>
      <c r="B134" s="73" t="s">
        <v>39</v>
      </c>
      <c r="C134" s="73" t="s">
        <v>653</v>
      </c>
      <c r="D134" s="73" t="s">
        <v>705</v>
      </c>
      <c r="E134" t="s">
        <v>42</v>
      </c>
      <c r="F134" t="s">
        <v>43</v>
      </c>
      <c r="G134" t="s">
        <v>44</v>
      </c>
      <c r="H134" s="73" t="s">
        <v>346</v>
      </c>
      <c r="I134" s="73" t="s">
        <v>89</v>
      </c>
      <c r="J134" s="73" t="s">
        <v>90</v>
      </c>
      <c r="K134" s="73" t="s">
        <v>52</v>
      </c>
      <c r="L134" s="73">
        <v>45503</v>
      </c>
      <c r="M134" s="73" t="s">
        <v>57</v>
      </c>
      <c r="N134" s="73" t="s">
        <v>47</v>
      </c>
    </row>
    <row r="135" spans="1:14" x14ac:dyDescent="0.3">
      <c r="A135" t="s">
        <v>653</v>
      </c>
      <c r="B135" s="73" t="s">
        <v>39</v>
      </c>
      <c r="C135" s="73" t="s">
        <v>653</v>
      </c>
      <c r="D135" s="73" t="s">
        <v>706</v>
      </c>
      <c r="E135" t="s">
        <v>42</v>
      </c>
      <c r="F135" t="s">
        <v>43</v>
      </c>
      <c r="G135" t="s">
        <v>44</v>
      </c>
      <c r="H135" s="73" t="s">
        <v>346</v>
      </c>
      <c r="I135" s="73" t="s">
        <v>89</v>
      </c>
      <c r="J135" s="73" t="s">
        <v>90</v>
      </c>
      <c r="K135" s="73" t="s">
        <v>52</v>
      </c>
      <c r="L135" s="73">
        <v>45503</v>
      </c>
      <c r="M135" s="73" t="s">
        <v>57</v>
      </c>
      <c r="N135" s="73" t="s">
        <v>47</v>
      </c>
    </row>
    <row r="136" spans="1:14" x14ac:dyDescent="0.3">
      <c r="A136" t="s">
        <v>653</v>
      </c>
      <c r="B136" s="73" t="s">
        <v>39</v>
      </c>
      <c r="C136" s="73" t="s">
        <v>653</v>
      </c>
      <c r="D136" s="73" t="s">
        <v>707</v>
      </c>
      <c r="E136" t="s">
        <v>42</v>
      </c>
      <c r="F136" t="s">
        <v>43</v>
      </c>
      <c r="G136" t="s">
        <v>68</v>
      </c>
      <c r="H136" s="73" t="s">
        <v>346</v>
      </c>
      <c r="I136" s="73" t="s">
        <v>89</v>
      </c>
      <c r="J136" s="73" t="s">
        <v>90</v>
      </c>
      <c r="K136" s="73" t="s">
        <v>52</v>
      </c>
      <c r="L136" s="73">
        <v>45503</v>
      </c>
      <c r="M136" s="73" t="s">
        <v>57</v>
      </c>
      <c r="N136" s="73" t="s">
        <v>47</v>
      </c>
    </row>
    <row r="137" spans="1:14" x14ac:dyDescent="0.3">
      <c r="A137" t="s">
        <v>653</v>
      </c>
      <c r="B137" s="73" t="s">
        <v>39</v>
      </c>
      <c r="C137" s="73" t="s">
        <v>653</v>
      </c>
      <c r="D137" s="73" t="s">
        <v>708</v>
      </c>
      <c r="E137" t="s">
        <v>42</v>
      </c>
      <c r="F137" t="s">
        <v>43</v>
      </c>
      <c r="G137" t="s">
        <v>68</v>
      </c>
      <c r="H137" s="73" t="s">
        <v>45</v>
      </c>
      <c r="I137" s="73" t="s">
        <v>47</v>
      </c>
      <c r="J137" s="73" t="s">
        <v>47</v>
      </c>
      <c r="K137" s="73" t="s">
        <v>52</v>
      </c>
      <c r="L137" s="73">
        <v>45503</v>
      </c>
      <c r="M137" s="73" t="s">
        <v>57</v>
      </c>
      <c r="N137" s="73" t="s">
        <v>47</v>
      </c>
    </row>
    <row r="138" spans="1:14" x14ac:dyDescent="0.3">
      <c r="A138" t="s">
        <v>653</v>
      </c>
      <c r="B138" s="73" t="s">
        <v>39</v>
      </c>
      <c r="C138" s="73" t="s">
        <v>653</v>
      </c>
      <c r="D138" s="73" t="s">
        <v>709</v>
      </c>
      <c r="E138" t="s">
        <v>42</v>
      </c>
      <c r="F138" t="s">
        <v>43</v>
      </c>
      <c r="G138" t="s">
        <v>68</v>
      </c>
      <c r="H138" s="73" t="s">
        <v>45</v>
      </c>
      <c r="I138" s="73" t="s">
        <v>47</v>
      </c>
      <c r="J138" s="73" t="s">
        <v>47</v>
      </c>
      <c r="K138" s="73" t="s">
        <v>48</v>
      </c>
      <c r="L138" s="73">
        <v>45503</v>
      </c>
      <c r="M138" s="73" t="s">
        <v>57</v>
      </c>
      <c r="N138" s="73" t="s">
        <v>47</v>
      </c>
    </row>
    <row r="139" spans="1:14" x14ac:dyDescent="0.3">
      <c r="A139" t="s">
        <v>653</v>
      </c>
      <c r="B139" s="73" t="s">
        <v>39</v>
      </c>
      <c r="C139" s="73" t="s">
        <v>653</v>
      </c>
      <c r="D139" s="73" t="s">
        <v>710</v>
      </c>
      <c r="E139" t="s">
        <v>42</v>
      </c>
      <c r="F139" t="s">
        <v>43</v>
      </c>
      <c r="G139" t="s">
        <v>68</v>
      </c>
      <c r="H139" s="73" t="s">
        <v>45</v>
      </c>
      <c r="I139" s="73" t="s">
        <v>47</v>
      </c>
      <c r="J139" s="73" t="s">
        <v>47</v>
      </c>
      <c r="K139" s="73" t="s">
        <v>48</v>
      </c>
      <c r="L139" s="73">
        <v>45503</v>
      </c>
      <c r="M139" s="73" t="s">
        <v>57</v>
      </c>
      <c r="N139" s="73" t="s">
        <v>47</v>
      </c>
    </row>
    <row r="140" spans="1:14" x14ac:dyDescent="0.3">
      <c r="A140" t="s">
        <v>653</v>
      </c>
      <c r="B140" s="73" t="s">
        <v>39</v>
      </c>
      <c r="C140" s="73" t="s">
        <v>653</v>
      </c>
      <c r="D140" s="73" t="s">
        <v>711</v>
      </c>
      <c r="E140" t="s">
        <v>42</v>
      </c>
      <c r="F140" t="s">
        <v>43</v>
      </c>
      <c r="G140" t="s">
        <v>44</v>
      </c>
      <c r="H140" s="73" t="s">
        <v>45</v>
      </c>
      <c r="I140" s="73" t="s">
        <v>47</v>
      </c>
      <c r="J140" s="73" t="s">
        <v>47</v>
      </c>
      <c r="K140" s="73" t="s">
        <v>48</v>
      </c>
      <c r="L140" s="73">
        <v>45503</v>
      </c>
      <c r="M140" s="73" t="s">
        <v>57</v>
      </c>
      <c r="N140" s="73" t="s">
        <v>47</v>
      </c>
    </row>
    <row r="141" spans="1:14" x14ac:dyDescent="0.3">
      <c r="A141" t="s">
        <v>653</v>
      </c>
      <c r="B141" s="73" t="s">
        <v>39</v>
      </c>
      <c r="C141" s="73" t="s">
        <v>653</v>
      </c>
      <c r="D141" s="73" t="s">
        <v>712</v>
      </c>
      <c r="E141" t="s">
        <v>42</v>
      </c>
      <c r="F141" t="s">
        <v>54</v>
      </c>
      <c r="G141" t="s">
        <v>44</v>
      </c>
      <c r="H141" s="73" t="s">
        <v>45</v>
      </c>
      <c r="I141" s="73" t="s">
        <v>47</v>
      </c>
      <c r="J141" s="73" t="s">
        <v>47</v>
      </c>
      <c r="K141" s="73" t="s">
        <v>48</v>
      </c>
      <c r="L141" s="73">
        <v>45503</v>
      </c>
      <c r="M141" s="73" t="s">
        <v>57</v>
      </c>
      <c r="N141" s="73" t="s">
        <v>47</v>
      </c>
    </row>
    <row r="142" spans="1:14" x14ac:dyDescent="0.3">
      <c r="A142" t="s">
        <v>653</v>
      </c>
      <c r="B142" s="73" t="s">
        <v>39</v>
      </c>
      <c r="C142" s="73" t="s">
        <v>653</v>
      </c>
      <c r="D142" s="73" t="s">
        <v>713</v>
      </c>
      <c r="E142" t="s">
        <v>42</v>
      </c>
      <c r="F142" t="s">
        <v>43</v>
      </c>
      <c r="G142" t="s">
        <v>68</v>
      </c>
      <c r="H142" s="73" t="s">
        <v>45</v>
      </c>
      <c r="I142" s="73" t="s">
        <v>47</v>
      </c>
      <c r="J142" s="73" t="s">
        <v>47</v>
      </c>
      <c r="K142" s="73" t="s">
        <v>48</v>
      </c>
      <c r="L142" s="73">
        <v>45503</v>
      </c>
      <c r="M142" s="73" t="s">
        <v>57</v>
      </c>
      <c r="N142" s="73" t="s">
        <v>47</v>
      </c>
    </row>
    <row r="143" spans="1:14" x14ac:dyDescent="0.3">
      <c r="A143" t="s">
        <v>653</v>
      </c>
      <c r="B143" s="73" t="s">
        <v>39</v>
      </c>
      <c r="C143" s="73" t="s">
        <v>653</v>
      </c>
      <c r="D143" s="73" t="s">
        <v>714</v>
      </c>
      <c r="E143" t="s">
        <v>42</v>
      </c>
      <c r="F143" t="s">
        <v>43</v>
      </c>
      <c r="G143" t="s">
        <v>68</v>
      </c>
      <c r="H143" s="73" t="s">
        <v>45</v>
      </c>
      <c r="I143" s="73" t="s">
        <v>47</v>
      </c>
      <c r="J143" s="73" t="s">
        <v>47</v>
      </c>
      <c r="K143" s="73" t="s">
        <v>48</v>
      </c>
      <c r="L143" s="73">
        <v>45503</v>
      </c>
      <c r="M143" s="73" t="s">
        <v>57</v>
      </c>
      <c r="N143" s="73" t="s">
        <v>47</v>
      </c>
    </row>
    <row r="144" spans="1:14" x14ac:dyDescent="0.3">
      <c r="A144" t="s">
        <v>653</v>
      </c>
      <c r="B144" s="73" t="s">
        <v>39</v>
      </c>
      <c r="C144" s="73" t="s">
        <v>653</v>
      </c>
      <c r="D144" s="73" t="s">
        <v>715</v>
      </c>
      <c r="E144" t="s">
        <v>42</v>
      </c>
      <c r="F144" t="s">
        <v>43</v>
      </c>
      <c r="G144" t="s">
        <v>68</v>
      </c>
      <c r="H144" s="73" t="s">
        <v>45</v>
      </c>
      <c r="I144" s="73" t="s">
        <v>47</v>
      </c>
      <c r="J144" s="73" t="s">
        <v>47</v>
      </c>
      <c r="K144" s="73" t="s">
        <v>48</v>
      </c>
      <c r="L144" s="73">
        <v>45503</v>
      </c>
      <c r="M144" s="73" t="s">
        <v>57</v>
      </c>
      <c r="N144" s="73" t="s">
        <v>47</v>
      </c>
    </row>
    <row r="145" spans="1:14" x14ac:dyDescent="0.3">
      <c r="A145" t="s">
        <v>653</v>
      </c>
      <c r="B145" s="73" t="s">
        <v>39</v>
      </c>
      <c r="C145" s="73" t="s">
        <v>653</v>
      </c>
      <c r="D145" s="73" t="s">
        <v>716</v>
      </c>
      <c r="E145" t="s">
        <v>42</v>
      </c>
      <c r="F145" t="s">
        <v>43</v>
      </c>
      <c r="G145" t="s">
        <v>68</v>
      </c>
      <c r="H145" s="73" t="s">
        <v>45</v>
      </c>
      <c r="I145" s="73" t="s">
        <v>47</v>
      </c>
      <c r="J145" s="73" t="s">
        <v>47</v>
      </c>
      <c r="K145" s="73" t="s">
        <v>48</v>
      </c>
      <c r="L145" s="73">
        <v>45503</v>
      </c>
      <c r="M145" s="73" t="s">
        <v>57</v>
      </c>
      <c r="N145" s="73" t="s">
        <v>47</v>
      </c>
    </row>
    <row r="146" spans="1:14" x14ac:dyDescent="0.3">
      <c r="A146" t="s">
        <v>653</v>
      </c>
      <c r="B146" s="73" t="s">
        <v>39</v>
      </c>
      <c r="C146" s="73" t="s">
        <v>653</v>
      </c>
      <c r="D146" s="73" t="s">
        <v>717</v>
      </c>
      <c r="E146" t="s">
        <v>42</v>
      </c>
      <c r="F146" t="s">
        <v>43</v>
      </c>
      <c r="G146" t="s">
        <v>44</v>
      </c>
      <c r="H146" s="73" t="s">
        <v>45</v>
      </c>
      <c r="I146" s="73" t="s">
        <v>47</v>
      </c>
      <c r="J146" s="73" t="s">
        <v>47</v>
      </c>
      <c r="K146" s="73" t="s">
        <v>48</v>
      </c>
      <c r="L146" s="73">
        <v>45503</v>
      </c>
      <c r="M146" s="73" t="s">
        <v>57</v>
      </c>
      <c r="N146" s="73" t="s">
        <v>47</v>
      </c>
    </row>
    <row r="147" spans="1:14" x14ac:dyDescent="0.3">
      <c r="A147" t="s">
        <v>653</v>
      </c>
      <c r="B147" s="73" t="s">
        <v>39</v>
      </c>
      <c r="C147" s="73" t="s">
        <v>653</v>
      </c>
      <c r="D147" s="73" t="s">
        <v>718</v>
      </c>
      <c r="E147" t="s">
        <v>42</v>
      </c>
      <c r="F147" t="s">
        <v>43</v>
      </c>
      <c r="G147" t="s">
        <v>44</v>
      </c>
      <c r="H147" s="73" t="s">
        <v>346</v>
      </c>
      <c r="I147" s="73" t="s">
        <v>89</v>
      </c>
      <c r="J147" s="73" t="s">
        <v>90</v>
      </c>
      <c r="K147" s="73" t="s">
        <v>52</v>
      </c>
      <c r="L147" s="73">
        <v>45503</v>
      </c>
      <c r="M147" s="73" t="s">
        <v>57</v>
      </c>
      <c r="N147" s="73" t="s">
        <v>47</v>
      </c>
    </row>
    <row r="148" spans="1:14" x14ac:dyDescent="0.3">
      <c r="A148" t="s">
        <v>653</v>
      </c>
      <c r="B148" s="73" t="s">
        <v>39</v>
      </c>
      <c r="C148" s="73" t="s">
        <v>653</v>
      </c>
      <c r="D148" s="73" t="s">
        <v>719</v>
      </c>
      <c r="E148" t="s">
        <v>42</v>
      </c>
      <c r="F148" t="s">
        <v>43</v>
      </c>
      <c r="G148" t="s">
        <v>68</v>
      </c>
      <c r="H148" s="73" t="s">
        <v>45</v>
      </c>
      <c r="I148" s="73" t="s">
        <v>47</v>
      </c>
      <c r="J148" s="73" t="s">
        <v>47</v>
      </c>
      <c r="K148" s="73" t="s">
        <v>48</v>
      </c>
      <c r="L148" s="73">
        <v>45503</v>
      </c>
      <c r="M148" s="73" t="s">
        <v>57</v>
      </c>
      <c r="N148" s="73" t="s">
        <v>47</v>
      </c>
    </row>
    <row r="149" spans="1:14" x14ac:dyDescent="0.3">
      <c r="A149" t="s">
        <v>653</v>
      </c>
      <c r="B149" s="73" t="s">
        <v>39</v>
      </c>
      <c r="C149" s="73" t="s">
        <v>653</v>
      </c>
      <c r="D149" s="73" t="s">
        <v>665</v>
      </c>
      <c r="E149" t="s">
        <v>42</v>
      </c>
      <c r="F149" t="s">
        <v>43</v>
      </c>
      <c r="G149" t="s">
        <v>44</v>
      </c>
      <c r="H149" s="73" t="s">
        <v>45</v>
      </c>
      <c r="I149" s="73" t="s">
        <v>47</v>
      </c>
      <c r="J149" s="73" t="s">
        <v>47</v>
      </c>
      <c r="K149" s="73" t="s">
        <v>52</v>
      </c>
      <c r="L149" s="73">
        <v>45503</v>
      </c>
      <c r="M149" s="73" t="s">
        <v>57</v>
      </c>
      <c r="N149" s="73" t="s">
        <v>47</v>
      </c>
    </row>
    <row r="150" spans="1:14" x14ac:dyDescent="0.3">
      <c r="A150" t="s">
        <v>653</v>
      </c>
      <c r="B150" s="73" t="s">
        <v>39</v>
      </c>
      <c r="C150" s="73" t="s">
        <v>653</v>
      </c>
      <c r="D150" s="73" t="s">
        <v>720</v>
      </c>
      <c r="E150" t="s">
        <v>42</v>
      </c>
      <c r="F150" t="s">
        <v>43</v>
      </c>
      <c r="G150" t="s">
        <v>68</v>
      </c>
      <c r="H150" s="73" t="s">
        <v>45</v>
      </c>
      <c r="I150" s="73" t="s">
        <v>47</v>
      </c>
      <c r="J150" s="73" t="s">
        <v>47</v>
      </c>
      <c r="K150" s="73" t="s">
        <v>48</v>
      </c>
      <c r="L150" s="73">
        <v>45503</v>
      </c>
      <c r="M150" s="73" t="s">
        <v>57</v>
      </c>
      <c r="N150" s="73" t="s">
        <v>47</v>
      </c>
    </row>
    <row r="151" spans="1:14" x14ac:dyDescent="0.3">
      <c r="A151" t="s">
        <v>653</v>
      </c>
      <c r="B151" s="73" t="s">
        <v>39</v>
      </c>
      <c r="C151" s="73" t="s">
        <v>653</v>
      </c>
      <c r="D151" s="73" t="s">
        <v>721</v>
      </c>
      <c r="E151" t="s">
        <v>42</v>
      </c>
      <c r="F151" t="s">
        <v>43</v>
      </c>
      <c r="G151" t="s">
        <v>68</v>
      </c>
      <c r="H151" s="73" t="s">
        <v>45</v>
      </c>
      <c r="I151" s="73" t="s">
        <v>47</v>
      </c>
      <c r="J151" s="73" t="s">
        <v>47</v>
      </c>
      <c r="K151" s="73" t="s">
        <v>48</v>
      </c>
      <c r="L151" s="73">
        <v>45503</v>
      </c>
      <c r="M151" s="73" t="s">
        <v>57</v>
      </c>
      <c r="N151" s="73" t="s">
        <v>47</v>
      </c>
    </row>
    <row r="152" spans="1:14" x14ac:dyDescent="0.3">
      <c r="A152" t="s">
        <v>653</v>
      </c>
      <c r="B152" s="73" t="s">
        <v>39</v>
      </c>
      <c r="C152" s="73" t="s">
        <v>653</v>
      </c>
      <c r="D152" s="73" t="s">
        <v>722</v>
      </c>
      <c r="E152" t="s">
        <v>42</v>
      </c>
      <c r="F152" t="s">
        <v>43</v>
      </c>
      <c r="G152" t="s">
        <v>44</v>
      </c>
      <c r="H152" s="73" t="s">
        <v>45</v>
      </c>
      <c r="I152" s="73" t="s">
        <v>47</v>
      </c>
      <c r="J152" s="73" t="s">
        <v>47</v>
      </c>
      <c r="K152" s="73" t="s">
        <v>52</v>
      </c>
      <c r="L152" s="73">
        <v>45503</v>
      </c>
      <c r="M152" s="73" t="s">
        <v>57</v>
      </c>
      <c r="N152" s="73" t="s">
        <v>47</v>
      </c>
    </row>
    <row r="153" spans="1:14" x14ac:dyDescent="0.3">
      <c r="A153" t="s">
        <v>653</v>
      </c>
      <c r="B153" s="73" t="s">
        <v>39</v>
      </c>
      <c r="C153" s="73" t="s">
        <v>653</v>
      </c>
      <c r="D153" s="73" t="s">
        <v>723</v>
      </c>
      <c r="E153" t="s">
        <v>42</v>
      </c>
      <c r="F153" t="s">
        <v>43</v>
      </c>
      <c r="G153" t="s">
        <v>68</v>
      </c>
      <c r="H153" s="73" t="s">
        <v>45</v>
      </c>
      <c r="I153" s="73" t="s">
        <v>47</v>
      </c>
      <c r="J153" s="73" t="s">
        <v>47</v>
      </c>
      <c r="K153" s="73" t="s">
        <v>52</v>
      </c>
      <c r="L153" s="73">
        <v>45503</v>
      </c>
      <c r="M153" s="73" t="s">
        <v>57</v>
      </c>
      <c r="N153" s="73" t="s">
        <v>47</v>
      </c>
    </row>
    <row r="154" spans="1:14" x14ac:dyDescent="0.3">
      <c r="A154" t="s">
        <v>653</v>
      </c>
      <c r="B154" s="73" t="s">
        <v>39</v>
      </c>
      <c r="C154" s="73" t="s">
        <v>653</v>
      </c>
      <c r="D154" s="73" t="s">
        <v>724</v>
      </c>
      <c r="E154" t="s">
        <v>42</v>
      </c>
      <c r="F154" t="s">
        <v>43</v>
      </c>
      <c r="G154" t="s">
        <v>68</v>
      </c>
      <c r="H154" s="73" t="s">
        <v>45</v>
      </c>
      <c r="I154" s="73" t="s">
        <v>47</v>
      </c>
      <c r="J154" s="73" t="s">
        <v>47</v>
      </c>
      <c r="K154" s="73" t="s">
        <v>52</v>
      </c>
      <c r="L154" s="73">
        <v>45503</v>
      </c>
      <c r="M154" s="73" t="s">
        <v>57</v>
      </c>
      <c r="N154" s="73" t="s">
        <v>47</v>
      </c>
    </row>
    <row r="155" spans="1:14" x14ac:dyDescent="0.3">
      <c r="A155" t="s">
        <v>653</v>
      </c>
      <c r="B155" s="73" t="s">
        <v>39</v>
      </c>
      <c r="C155" s="73" t="s">
        <v>653</v>
      </c>
      <c r="D155" s="73" t="s">
        <v>725</v>
      </c>
      <c r="E155" t="s">
        <v>42</v>
      </c>
      <c r="F155" t="s">
        <v>43</v>
      </c>
      <c r="G155" t="s">
        <v>68</v>
      </c>
      <c r="H155" s="73" t="s">
        <v>45</v>
      </c>
      <c r="I155" s="73" t="s">
        <v>47</v>
      </c>
      <c r="J155" s="73" t="s">
        <v>47</v>
      </c>
      <c r="K155" s="73" t="s">
        <v>52</v>
      </c>
      <c r="L155" s="73">
        <v>45503</v>
      </c>
      <c r="M155" s="73" t="s">
        <v>57</v>
      </c>
      <c r="N155" s="73" t="s">
        <v>47</v>
      </c>
    </row>
  </sheetData>
  <phoneticPr fontId="20"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ABBB0-5AFC-4FA7-AE20-37E5C925CEB8}">
  <dimension ref="A1:F6"/>
  <sheetViews>
    <sheetView topLeftCell="D1" workbookViewId="0">
      <selection activeCell="B21" sqref="B21"/>
    </sheetView>
  </sheetViews>
  <sheetFormatPr defaultRowHeight="14" x14ac:dyDescent="0.3"/>
  <cols>
    <col min="1" max="3" width="19.5" bestFit="1" customWidth="1"/>
    <col min="4" max="4" width="16.08203125" bestFit="1" customWidth="1"/>
    <col min="5" max="5" width="13.9140625" bestFit="1" customWidth="1"/>
    <col min="6" max="6" width="19.5" bestFit="1" customWidth="1"/>
    <col min="7" max="7" width="16.5" bestFit="1" customWidth="1"/>
    <col min="8" max="8" width="13.83203125" bestFit="1" customWidth="1"/>
    <col min="9" max="9" width="21.75" bestFit="1" customWidth="1"/>
    <col min="10" max="10" width="20.08203125" bestFit="1" customWidth="1"/>
    <col min="11" max="11" width="60.33203125" bestFit="1" customWidth="1"/>
    <col min="12" max="12" width="10.25" bestFit="1" customWidth="1"/>
    <col min="13" max="13" width="10" bestFit="1" customWidth="1"/>
    <col min="14" max="14" width="12.5" bestFit="1" customWidth="1"/>
    <col min="15" max="15" width="80.58203125" bestFit="1" customWidth="1"/>
    <col min="16" max="16" width="20.33203125" bestFit="1" customWidth="1"/>
    <col min="17" max="17" width="61.58203125" bestFit="1" customWidth="1"/>
    <col min="18" max="18" width="80.58203125" bestFit="1" customWidth="1"/>
    <col min="19" max="19" width="20.33203125" bestFit="1" customWidth="1"/>
    <col min="20" max="20" width="25" bestFit="1" customWidth="1"/>
    <col min="21" max="23" width="11.33203125" bestFit="1" customWidth="1"/>
    <col min="24" max="29" width="12.58203125" bestFit="1" customWidth="1"/>
  </cols>
  <sheetData>
    <row r="1" spans="1:6" x14ac:dyDescent="0.3">
      <c r="A1" t="s">
        <v>26</v>
      </c>
      <c r="B1" t="s">
        <v>97</v>
      </c>
      <c r="C1" t="s">
        <v>98</v>
      </c>
      <c r="D1" t="s">
        <v>99</v>
      </c>
      <c r="E1" t="s">
        <v>36</v>
      </c>
      <c r="F1" t="s">
        <v>37</v>
      </c>
    </row>
    <row r="2" spans="1:6" x14ac:dyDescent="0.3">
      <c r="A2" s="73" t="s">
        <v>40</v>
      </c>
      <c r="B2" t="s">
        <v>100</v>
      </c>
      <c r="C2" t="s">
        <v>348</v>
      </c>
      <c r="D2">
        <v>45286</v>
      </c>
      <c r="E2" s="73" t="s">
        <v>57</v>
      </c>
      <c r="F2" s="73" t="s">
        <v>513</v>
      </c>
    </row>
    <row r="3" spans="1:6" x14ac:dyDescent="0.3">
      <c r="A3" s="73" t="s">
        <v>470</v>
      </c>
      <c r="B3" t="s">
        <v>514</v>
      </c>
      <c r="C3" t="s">
        <v>348</v>
      </c>
      <c r="D3">
        <v>45324</v>
      </c>
      <c r="E3" s="73" t="s">
        <v>515</v>
      </c>
      <c r="F3" s="73" t="s">
        <v>513</v>
      </c>
    </row>
    <row r="4" spans="1:6" x14ac:dyDescent="0.3">
      <c r="A4" s="73" t="s">
        <v>619</v>
      </c>
      <c r="B4" t="s">
        <v>650</v>
      </c>
      <c r="C4" t="s">
        <v>348</v>
      </c>
      <c r="D4">
        <v>45491</v>
      </c>
      <c r="E4" s="73" t="s">
        <v>515</v>
      </c>
      <c r="F4" s="73" t="s">
        <v>513</v>
      </c>
    </row>
    <row r="5" spans="1:6" x14ac:dyDescent="0.3">
      <c r="A5" s="73" t="s">
        <v>651</v>
      </c>
      <c r="B5" t="s">
        <v>652</v>
      </c>
      <c r="C5" t="s">
        <v>348</v>
      </c>
      <c r="D5">
        <v>45503</v>
      </c>
      <c r="E5" s="73" t="s">
        <v>57</v>
      </c>
      <c r="F5" s="73"/>
    </row>
    <row r="6" spans="1:6" x14ac:dyDescent="0.3">
      <c r="A6" s="73" t="s">
        <v>653</v>
      </c>
      <c r="B6" t="s">
        <v>654</v>
      </c>
      <c r="C6" t="s">
        <v>348</v>
      </c>
      <c r="D6">
        <v>45503</v>
      </c>
      <c r="E6" s="73" t="s">
        <v>57</v>
      </c>
      <c r="F6" s="73"/>
    </row>
  </sheetData>
  <phoneticPr fontId="20"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9D27E-29FD-4D98-89AF-2F36287781B1}">
  <dimension ref="A1:N155"/>
  <sheetViews>
    <sheetView workbookViewId="0">
      <selection activeCell="B34" sqref="B34"/>
    </sheetView>
  </sheetViews>
  <sheetFormatPr defaultRowHeight="14" x14ac:dyDescent="0.3"/>
  <cols>
    <col min="1" max="1" width="6.58203125" bestFit="1" customWidth="1"/>
    <col min="2" max="4" width="19.5" bestFit="1" customWidth="1"/>
    <col min="5" max="5" width="14.9140625" bestFit="1" customWidth="1"/>
    <col min="6" max="6" width="16.58203125" bestFit="1" customWidth="1"/>
    <col min="7" max="9" width="19.5" bestFit="1" customWidth="1"/>
    <col min="10" max="10" width="17.1640625" bestFit="1" customWidth="1"/>
    <col min="11" max="11" width="16.08203125" bestFit="1" customWidth="1"/>
    <col min="12" max="12" width="14.9140625" bestFit="1" customWidth="1"/>
    <col min="13" max="14" width="19.5" bestFit="1" customWidth="1"/>
    <col min="15" max="15" width="19.08203125" bestFit="1" customWidth="1"/>
    <col min="16" max="16" width="16" bestFit="1" customWidth="1"/>
    <col min="17" max="17" width="13.83203125" bestFit="1" customWidth="1"/>
    <col min="18" max="18" width="21.75" bestFit="1" customWidth="1"/>
    <col min="19" max="19" width="13.5" bestFit="1" customWidth="1"/>
    <col min="20" max="20" width="10.25" bestFit="1" customWidth="1"/>
    <col min="21" max="21" width="13.83203125" bestFit="1" customWidth="1"/>
    <col min="22" max="22" width="62.08203125" bestFit="1" customWidth="1"/>
    <col min="23" max="23" width="18.08203125" bestFit="1" customWidth="1"/>
    <col min="24" max="24" width="62.08203125" bestFit="1" customWidth="1"/>
    <col min="25" max="25" width="18.08203125" bestFit="1" customWidth="1"/>
    <col min="26" max="26" width="62.08203125" bestFit="1" customWidth="1"/>
    <col min="27" max="27" width="30.75" bestFit="1" customWidth="1"/>
    <col min="28" max="28" width="18.08203125" bestFit="1" customWidth="1"/>
  </cols>
  <sheetData>
    <row r="1" spans="1:14" x14ac:dyDescent="0.3">
      <c r="A1" t="s">
        <v>6</v>
      </c>
      <c r="B1" t="s">
        <v>102</v>
      </c>
      <c r="C1" t="s">
        <v>103</v>
      </c>
      <c r="D1" t="s">
        <v>27</v>
      </c>
      <c r="E1" t="s">
        <v>29</v>
      </c>
      <c r="F1" t="s">
        <v>30</v>
      </c>
      <c r="G1" t="s">
        <v>104</v>
      </c>
      <c r="H1" t="s">
        <v>105</v>
      </c>
      <c r="I1" t="s">
        <v>106</v>
      </c>
      <c r="J1" t="s">
        <v>107</v>
      </c>
      <c r="K1" t="s">
        <v>99</v>
      </c>
      <c r="L1" t="s">
        <v>36</v>
      </c>
      <c r="M1" t="s">
        <v>37</v>
      </c>
      <c r="N1" t="s">
        <v>108</v>
      </c>
    </row>
    <row r="2" spans="1:14" x14ac:dyDescent="0.3">
      <c r="A2">
        <v>1</v>
      </c>
      <c r="B2" s="73" t="s">
        <v>109</v>
      </c>
      <c r="C2" t="s">
        <v>110</v>
      </c>
      <c r="D2" s="73" t="s">
        <v>41</v>
      </c>
      <c r="E2" t="s">
        <v>43</v>
      </c>
      <c r="F2" t="s">
        <v>44</v>
      </c>
      <c r="G2" s="73" t="s">
        <v>111</v>
      </c>
      <c r="H2" t="s">
        <v>112</v>
      </c>
      <c r="I2" s="73" t="s">
        <v>113</v>
      </c>
      <c r="J2" s="73" t="s">
        <v>114</v>
      </c>
      <c r="K2">
        <v>45300</v>
      </c>
      <c r="L2" s="73" t="s">
        <v>57</v>
      </c>
      <c r="M2" t="s">
        <v>47</v>
      </c>
      <c r="N2" t="s">
        <v>38</v>
      </c>
    </row>
    <row r="3" spans="1:14" x14ac:dyDescent="0.3">
      <c r="A3">
        <v>2</v>
      </c>
      <c r="B3" s="73" t="s">
        <v>115</v>
      </c>
      <c r="C3" t="s">
        <v>326</v>
      </c>
      <c r="D3" s="73" t="s">
        <v>50</v>
      </c>
      <c r="E3" t="s">
        <v>43</v>
      </c>
      <c r="F3" t="s">
        <v>44</v>
      </c>
      <c r="G3" s="73" t="s">
        <v>116</v>
      </c>
      <c r="H3" t="s">
        <v>117</v>
      </c>
      <c r="I3" s="73" t="s">
        <v>113</v>
      </c>
      <c r="J3" s="73" t="s">
        <v>114</v>
      </c>
      <c r="K3">
        <v>45300</v>
      </c>
      <c r="L3" s="73" t="s">
        <v>57</v>
      </c>
      <c r="M3" t="s">
        <v>47</v>
      </c>
      <c r="N3" t="s">
        <v>38</v>
      </c>
    </row>
    <row r="4" spans="1:14" x14ac:dyDescent="0.3">
      <c r="A4">
        <v>3</v>
      </c>
      <c r="B4" s="73" t="s">
        <v>118</v>
      </c>
      <c r="C4" t="s">
        <v>119</v>
      </c>
      <c r="D4" s="73" t="s">
        <v>53</v>
      </c>
      <c r="E4" t="s">
        <v>54</v>
      </c>
      <c r="F4" t="s">
        <v>44</v>
      </c>
      <c r="G4" s="73" t="s">
        <v>47</v>
      </c>
      <c r="H4" t="s">
        <v>120</v>
      </c>
      <c r="I4" s="73" t="s">
        <v>113</v>
      </c>
      <c r="J4" s="73" t="s">
        <v>114</v>
      </c>
      <c r="K4">
        <v>45264</v>
      </c>
      <c r="L4" s="73" t="s">
        <v>57</v>
      </c>
      <c r="M4" t="s">
        <v>47</v>
      </c>
      <c r="N4" t="s">
        <v>38</v>
      </c>
    </row>
    <row r="5" spans="1:14" x14ac:dyDescent="0.3">
      <c r="A5">
        <v>4</v>
      </c>
      <c r="B5" s="73" t="s">
        <v>121</v>
      </c>
      <c r="C5" t="s">
        <v>122</v>
      </c>
      <c r="D5" s="73" t="s">
        <v>58</v>
      </c>
      <c r="E5" t="s">
        <v>43</v>
      </c>
      <c r="F5" t="s">
        <v>44</v>
      </c>
      <c r="G5" s="73" t="s">
        <v>47</v>
      </c>
      <c r="H5" t="s">
        <v>123</v>
      </c>
      <c r="I5" s="73" t="s">
        <v>113</v>
      </c>
      <c r="J5" s="73" t="s">
        <v>114</v>
      </c>
      <c r="K5">
        <v>45264</v>
      </c>
      <c r="L5" s="73" t="s">
        <v>57</v>
      </c>
      <c r="M5" t="s">
        <v>47</v>
      </c>
      <c r="N5" t="s">
        <v>38</v>
      </c>
    </row>
    <row r="6" spans="1:14" x14ac:dyDescent="0.3">
      <c r="A6">
        <v>5</v>
      </c>
      <c r="B6" s="73" t="s">
        <v>124</v>
      </c>
      <c r="C6" t="s">
        <v>125</v>
      </c>
      <c r="D6" s="73" t="s">
        <v>61</v>
      </c>
      <c r="E6" t="s">
        <v>43</v>
      </c>
      <c r="F6" t="s">
        <v>44</v>
      </c>
      <c r="G6" s="73" t="s">
        <v>47</v>
      </c>
      <c r="H6" t="s">
        <v>126</v>
      </c>
      <c r="I6" s="73" t="s">
        <v>113</v>
      </c>
      <c r="J6" s="73" t="s">
        <v>114</v>
      </c>
      <c r="K6">
        <v>45300</v>
      </c>
      <c r="L6" s="73" t="s">
        <v>57</v>
      </c>
      <c r="M6" t="s">
        <v>47</v>
      </c>
      <c r="N6" t="s">
        <v>38</v>
      </c>
    </row>
    <row r="7" spans="1:14" x14ac:dyDescent="0.3">
      <c r="A7">
        <v>6</v>
      </c>
      <c r="B7" s="73" t="s">
        <v>127</v>
      </c>
      <c r="C7" t="s">
        <v>128</v>
      </c>
      <c r="D7" s="73" t="s">
        <v>63</v>
      </c>
      <c r="E7" t="s">
        <v>54</v>
      </c>
      <c r="F7" t="s">
        <v>44</v>
      </c>
      <c r="G7" s="73" t="s">
        <v>47</v>
      </c>
      <c r="H7" t="s">
        <v>129</v>
      </c>
      <c r="I7" s="73" t="s">
        <v>113</v>
      </c>
      <c r="J7" s="73" t="s">
        <v>114</v>
      </c>
      <c r="K7">
        <v>45264</v>
      </c>
      <c r="L7" s="73" t="s">
        <v>57</v>
      </c>
      <c r="M7" t="s">
        <v>47</v>
      </c>
      <c r="N7" t="s">
        <v>38</v>
      </c>
    </row>
    <row r="8" spans="1:14" x14ac:dyDescent="0.3">
      <c r="A8">
        <v>7</v>
      </c>
      <c r="B8" s="73" t="s">
        <v>130</v>
      </c>
      <c r="C8" t="s">
        <v>327</v>
      </c>
      <c r="D8" s="73" t="s">
        <v>64</v>
      </c>
      <c r="E8" t="s">
        <v>43</v>
      </c>
      <c r="F8" t="s">
        <v>44</v>
      </c>
      <c r="G8" s="73" t="s">
        <v>131</v>
      </c>
      <c r="H8" t="s">
        <v>132</v>
      </c>
      <c r="I8" s="73" t="s">
        <v>113</v>
      </c>
      <c r="J8" s="73" t="s">
        <v>114</v>
      </c>
      <c r="K8">
        <v>45264</v>
      </c>
      <c r="L8" s="73" t="s">
        <v>57</v>
      </c>
      <c r="M8" t="s">
        <v>47</v>
      </c>
      <c r="N8" t="s">
        <v>38</v>
      </c>
    </row>
    <row r="9" spans="1:14" x14ac:dyDescent="0.3">
      <c r="A9">
        <v>8</v>
      </c>
      <c r="B9" s="73" t="s">
        <v>133</v>
      </c>
      <c r="C9" t="s">
        <v>134</v>
      </c>
      <c r="D9" s="73" t="s">
        <v>65</v>
      </c>
      <c r="E9" t="s">
        <v>54</v>
      </c>
      <c r="F9" t="s">
        <v>44</v>
      </c>
      <c r="G9" s="73" t="s">
        <v>47</v>
      </c>
      <c r="H9" t="s">
        <v>135</v>
      </c>
      <c r="I9" s="73" t="s">
        <v>113</v>
      </c>
      <c r="J9" s="73" t="s">
        <v>114</v>
      </c>
      <c r="K9">
        <v>45300</v>
      </c>
      <c r="L9" s="73" t="s">
        <v>57</v>
      </c>
      <c r="M9" t="s">
        <v>47</v>
      </c>
      <c r="N9" t="s">
        <v>38</v>
      </c>
    </row>
    <row r="10" spans="1:14" x14ac:dyDescent="0.3">
      <c r="A10">
        <v>9</v>
      </c>
      <c r="B10" s="73" t="s">
        <v>136</v>
      </c>
      <c r="C10" t="s">
        <v>137</v>
      </c>
      <c r="D10" s="73" t="s">
        <v>67</v>
      </c>
      <c r="E10" t="s">
        <v>54</v>
      </c>
      <c r="F10" t="s">
        <v>68</v>
      </c>
      <c r="G10" s="73" t="s">
        <v>47</v>
      </c>
      <c r="H10" t="s">
        <v>138</v>
      </c>
      <c r="I10" s="73" t="s">
        <v>113</v>
      </c>
      <c r="J10" s="73" t="s">
        <v>114</v>
      </c>
      <c r="K10">
        <v>45264</v>
      </c>
      <c r="L10" s="73" t="s">
        <v>57</v>
      </c>
      <c r="M10" t="s">
        <v>47</v>
      </c>
      <c r="N10" t="s">
        <v>38</v>
      </c>
    </row>
    <row r="11" spans="1:14" x14ac:dyDescent="0.3">
      <c r="A11">
        <v>10</v>
      </c>
      <c r="B11" s="73" t="s">
        <v>139</v>
      </c>
      <c r="C11" t="s">
        <v>137</v>
      </c>
      <c r="D11" s="73" t="s">
        <v>69</v>
      </c>
      <c r="E11" t="s">
        <v>54</v>
      </c>
      <c r="F11" t="s">
        <v>68</v>
      </c>
      <c r="G11" s="73" t="s">
        <v>47</v>
      </c>
      <c r="H11" t="s">
        <v>140</v>
      </c>
      <c r="I11" s="73" t="s">
        <v>113</v>
      </c>
      <c r="J11" s="73" t="s">
        <v>114</v>
      </c>
      <c r="K11">
        <v>45264</v>
      </c>
      <c r="L11" s="73" t="s">
        <v>57</v>
      </c>
      <c r="M11" t="s">
        <v>47</v>
      </c>
      <c r="N11" t="s">
        <v>38</v>
      </c>
    </row>
    <row r="12" spans="1:14" x14ac:dyDescent="0.3">
      <c r="A12">
        <v>11</v>
      </c>
      <c r="B12" s="73" t="s">
        <v>141</v>
      </c>
      <c r="C12" t="s">
        <v>137</v>
      </c>
      <c r="D12" s="73" t="s">
        <v>70</v>
      </c>
      <c r="E12" t="s">
        <v>54</v>
      </c>
      <c r="F12" t="s">
        <v>68</v>
      </c>
      <c r="G12" s="73" t="s">
        <v>47</v>
      </c>
      <c r="H12" t="s">
        <v>142</v>
      </c>
      <c r="I12" s="73" t="s">
        <v>113</v>
      </c>
      <c r="J12" s="73" t="s">
        <v>114</v>
      </c>
      <c r="K12">
        <v>45264</v>
      </c>
      <c r="L12" s="73" t="s">
        <v>57</v>
      </c>
      <c r="M12" t="s">
        <v>47</v>
      </c>
      <c r="N12" t="s">
        <v>38</v>
      </c>
    </row>
    <row r="13" spans="1:14" x14ac:dyDescent="0.3">
      <c r="A13">
        <v>12</v>
      </c>
      <c r="B13" s="73" t="s">
        <v>143</v>
      </c>
      <c r="C13" t="s">
        <v>137</v>
      </c>
      <c r="D13" s="73" t="s">
        <v>71</v>
      </c>
      <c r="E13" t="s">
        <v>54</v>
      </c>
      <c r="F13" t="s">
        <v>68</v>
      </c>
      <c r="G13" s="73" t="s">
        <v>47</v>
      </c>
      <c r="H13" t="s">
        <v>144</v>
      </c>
      <c r="I13" s="73" t="s">
        <v>113</v>
      </c>
      <c r="J13" s="73" t="s">
        <v>114</v>
      </c>
      <c r="K13">
        <v>45264</v>
      </c>
      <c r="L13" s="73" t="s">
        <v>57</v>
      </c>
      <c r="M13" t="s">
        <v>47</v>
      </c>
      <c r="N13" t="s">
        <v>38</v>
      </c>
    </row>
    <row r="14" spans="1:14" x14ac:dyDescent="0.3">
      <c r="A14">
        <v>13</v>
      </c>
      <c r="B14" s="73" t="s">
        <v>145</v>
      </c>
      <c r="C14" t="s">
        <v>137</v>
      </c>
      <c r="D14" s="73" t="s">
        <v>72</v>
      </c>
      <c r="E14" t="s">
        <v>54</v>
      </c>
      <c r="F14" t="s">
        <v>68</v>
      </c>
      <c r="G14" s="73" t="s">
        <v>47</v>
      </c>
      <c r="H14" t="s">
        <v>146</v>
      </c>
      <c r="I14" s="73" t="s">
        <v>113</v>
      </c>
      <c r="J14" s="73" t="s">
        <v>114</v>
      </c>
      <c r="K14">
        <v>45264</v>
      </c>
      <c r="L14" s="73" t="s">
        <v>57</v>
      </c>
      <c r="M14" t="s">
        <v>47</v>
      </c>
      <c r="N14" t="s">
        <v>38</v>
      </c>
    </row>
    <row r="15" spans="1:14" x14ac:dyDescent="0.3">
      <c r="A15">
        <v>14</v>
      </c>
      <c r="B15" s="73" t="s">
        <v>147</v>
      </c>
      <c r="C15" t="s">
        <v>137</v>
      </c>
      <c r="D15" s="73" t="s">
        <v>73</v>
      </c>
      <c r="E15" t="s">
        <v>54</v>
      </c>
      <c r="F15" t="s">
        <v>68</v>
      </c>
      <c r="G15" s="73" t="s">
        <v>47</v>
      </c>
      <c r="H15" t="s">
        <v>148</v>
      </c>
      <c r="I15" s="73" t="s">
        <v>113</v>
      </c>
      <c r="J15" s="73" t="s">
        <v>114</v>
      </c>
      <c r="K15">
        <v>45264</v>
      </c>
      <c r="L15" s="73" t="s">
        <v>57</v>
      </c>
      <c r="M15" t="s">
        <v>47</v>
      </c>
      <c r="N15" t="s">
        <v>38</v>
      </c>
    </row>
    <row r="16" spans="1:14" x14ac:dyDescent="0.3">
      <c r="A16">
        <v>15</v>
      </c>
      <c r="B16" s="73" t="s">
        <v>149</v>
      </c>
      <c r="C16" t="s">
        <v>150</v>
      </c>
      <c r="D16" s="73" t="s">
        <v>74</v>
      </c>
      <c r="E16" t="s">
        <v>43</v>
      </c>
      <c r="F16" t="s">
        <v>44</v>
      </c>
      <c r="G16" s="73" t="s">
        <v>151</v>
      </c>
      <c r="H16" t="s">
        <v>152</v>
      </c>
      <c r="I16" s="73" t="s">
        <v>113</v>
      </c>
      <c r="J16" s="73" t="s">
        <v>114</v>
      </c>
      <c r="K16">
        <v>45264</v>
      </c>
      <c r="L16" s="73" t="s">
        <v>57</v>
      </c>
      <c r="M16" t="s">
        <v>47</v>
      </c>
      <c r="N16" t="s">
        <v>38</v>
      </c>
    </row>
    <row r="17" spans="1:14" x14ac:dyDescent="0.3">
      <c r="A17">
        <v>16</v>
      </c>
      <c r="B17" s="73" t="s">
        <v>153</v>
      </c>
      <c r="C17" t="s">
        <v>154</v>
      </c>
      <c r="D17" s="73" t="s">
        <v>75</v>
      </c>
      <c r="E17" t="s">
        <v>43</v>
      </c>
      <c r="F17" t="s">
        <v>44</v>
      </c>
      <c r="G17" s="73" t="s">
        <v>155</v>
      </c>
      <c r="H17" t="s">
        <v>156</v>
      </c>
      <c r="I17" s="73" t="s">
        <v>113</v>
      </c>
      <c r="J17" s="73" t="s">
        <v>114</v>
      </c>
      <c r="K17">
        <v>45264</v>
      </c>
      <c r="L17" s="73" t="s">
        <v>57</v>
      </c>
      <c r="M17" t="s">
        <v>47</v>
      </c>
      <c r="N17" t="s">
        <v>38</v>
      </c>
    </row>
    <row r="18" spans="1:14" x14ac:dyDescent="0.3">
      <c r="A18">
        <v>17</v>
      </c>
      <c r="B18" s="73" t="s">
        <v>157</v>
      </c>
      <c r="C18" t="s">
        <v>158</v>
      </c>
      <c r="D18" s="73" t="s">
        <v>79</v>
      </c>
      <c r="E18" t="s">
        <v>43</v>
      </c>
      <c r="F18" t="s">
        <v>44</v>
      </c>
      <c r="G18" s="73" t="s">
        <v>47</v>
      </c>
      <c r="H18" t="s">
        <v>159</v>
      </c>
      <c r="I18" s="73" t="s">
        <v>113</v>
      </c>
      <c r="J18" s="73" t="s">
        <v>114</v>
      </c>
      <c r="K18">
        <v>45264</v>
      </c>
      <c r="L18" s="73" t="s">
        <v>57</v>
      </c>
      <c r="M18" t="s">
        <v>47</v>
      </c>
      <c r="N18" t="s">
        <v>38</v>
      </c>
    </row>
    <row r="19" spans="1:14" x14ac:dyDescent="0.3">
      <c r="A19">
        <v>18</v>
      </c>
      <c r="B19" s="73" t="s">
        <v>160</v>
      </c>
      <c r="C19" t="s">
        <v>161</v>
      </c>
      <c r="D19" s="73" t="s">
        <v>80</v>
      </c>
      <c r="E19" t="s">
        <v>43</v>
      </c>
      <c r="F19" t="s">
        <v>44</v>
      </c>
      <c r="G19" s="73" t="s">
        <v>162</v>
      </c>
      <c r="H19" t="s">
        <v>163</v>
      </c>
      <c r="I19" s="73" t="s">
        <v>113</v>
      </c>
      <c r="J19" s="73" t="s">
        <v>114</v>
      </c>
      <c r="K19">
        <v>45264</v>
      </c>
      <c r="L19" s="73" t="s">
        <v>57</v>
      </c>
      <c r="M19" t="s">
        <v>47</v>
      </c>
      <c r="N19" t="s">
        <v>38</v>
      </c>
    </row>
    <row r="20" spans="1:14" x14ac:dyDescent="0.3">
      <c r="A20">
        <v>19</v>
      </c>
      <c r="B20" s="73" t="s">
        <v>164</v>
      </c>
      <c r="C20" t="s">
        <v>165</v>
      </c>
      <c r="D20" s="73" t="s">
        <v>81</v>
      </c>
      <c r="E20" t="s">
        <v>43</v>
      </c>
      <c r="F20" t="s">
        <v>44</v>
      </c>
      <c r="G20" s="73" t="s">
        <v>47</v>
      </c>
      <c r="H20" t="s">
        <v>166</v>
      </c>
      <c r="I20" s="73" t="s">
        <v>113</v>
      </c>
      <c r="J20" s="73" t="s">
        <v>114</v>
      </c>
      <c r="K20">
        <v>45264</v>
      </c>
      <c r="L20" s="73" t="s">
        <v>57</v>
      </c>
      <c r="M20" t="s">
        <v>47</v>
      </c>
      <c r="N20" t="s">
        <v>38</v>
      </c>
    </row>
    <row r="21" spans="1:14" x14ac:dyDescent="0.3">
      <c r="A21">
        <v>20</v>
      </c>
      <c r="B21" s="73" t="s">
        <v>167</v>
      </c>
      <c r="C21" t="s">
        <v>168</v>
      </c>
      <c r="D21" s="73" t="s">
        <v>82</v>
      </c>
      <c r="E21" t="s">
        <v>43</v>
      </c>
      <c r="F21" t="s">
        <v>44</v>
      </c>
      <c r="G21" s="73" t="s">
        <v>47</v>
      </c>
      <c r="H21" t="s">
        <v>169</v>
      </c>
      <c r="I21" s="73" t="s">
        <v>113</v>
      </c>
      <c r="J21" s="73" t="s">
        <v>114</v>
      </c>
      <c r="K21">
        <v>45264</v>
      </c>
      <c r="L21" s="73" t="s">
        <v>57</v>
      </c>
      <c r="M21" t="s">
        <v>47</v>
      </c>
      <c r="N21" t="s">
        <v>38</v>
      </c>
    </row>
    <row r="22" spans="1:14" x14ac:dyDescent="0.3">
      <c r="A22">
        <v>21</v>
      </c>
      <c r="B22" s="73" t="s">
        <v>170</v>
      </c>
      <c r="C22" t="s">
        <v>171</v>
      </c>
      <c r="D22" s="73" t="s">
        <v>83</v>
      </c>
      <c r="E22" t="s">
        <v>43</v>
      </c>
      <c r="F22" t="s">
        <v>44</v>
      </c>
      <c r="G22" s="73" t="s">
        <v>47</v>
      </c>
      <c r="H22" t="s">
        <v>172</v>
      </c>
      <c r="I22" s="73" t="s">
        <v>113</v>
      </c>
      <c r="J22" s="73" t="s">
        <v>114</v>
      </c>
      <c r="K22">
        <v>45264</v>
      </c>
      <c r="L22" s="73" t="s">
        <v>57</v>
      </c>
      <c r="M22" t="s">
        <v>47</v>
      </c>
      <c r="N22" t="s">
        <v>38</v>
      </c>
    </row>
    <row r="23" spans="1:14" x14ac:dyDescent="0.3">
      <c r="A23">
        <v>22</v>
      </c>
      <c r="B23" s="73" t="s">
        <v>173</v>
      </c>
      <c r="C23" t="s">
        <v>174</v>
      </c>
      <c r="D23" s="73" t="s">
        <v>84</v>
      </c>
      <c r="E23" t="s">
        <v>54</v>
      </c>
      <c r="F23" t="s">
        <v>44</v>
      </c>
      <c r="G23" s="73" t="s">
        <v>47</v>
      </c>
      <c r="H23" t="s">
        <v>175</v>
      </c>
      <c r="I23" s="73" t="s">
        <v>113</v>
      </c>
      <c r="J23" s="73" t="s">
        <v>114</v>
      </c>
      <c r="K23">
        <v>45264</v>
      </c>
      <c r="L23" s="73" t="s">
        <v>57</v>
      </c>
      <c r="M23" t="s">
        <v>47</v>
      </c>
      <c r="N23" t="s">
        <v>38</v>
      </c>
    </row>
    <row r="24" spans="1:14" x14ac:dyDescent="0.3">
      <c r="A24">
        <v>23</v>
      </c>
      <c r="B24" s="73" t="s">
        <v>176</v>
      </c>
      <c r="C24" t="s">
        <v>177</v>
      </c>
      <c r="D24" s="73" t="s">
        <v>86</v>
      </c>
      <c r="E24" t="s">
        <v>43</v>
      </c>
      <c r="F24" t="s">
        <v>44</v>
      </c>
      <c r="G24" s="73" t="s">
        <v>47</v>
      </c>
      <c r="H24" t="s">
        <v>178</v>
      </c>
      <c r="I24" s="73" t="s">
        <v>113</v>
      </c>
      <c r="J24" s="73" t="s">
        <v>114</v>
      </c>
      <c r="K24">
        <v>45264</v>
      </c>
      <c r="L24" s="73" t="s">
        <v>57</v>
      </c>
      <c r="M24" t="s">
        <v>47</v>
      </c>
      <c r="N24" t="s">
        <v>38</v>
      </c>
    </row>
    <row r="25" spans="1:14" x14ac:dyDescent="0.3">
      <c r="A25">
        <v>24</v>
      </c>
      <c r="B25" s="73" t="s">
        <v>179</v>
      </c>
      <c r="C25" t="s">
        <v>180</v>
      </c>
      <c r="D25" s="73" t="s">
        <v>87</v>
      </c>
      <c r="E25" t="s">
        <v>54</v>
      </c>
      <c r="F25" t="s">
        <v>44</v>
      </c>
      <c r="G25" s="73" t="s">
        <v>47</v>
      </c>
      <c r="H25" t="s">
        <v>181</v>
      </c>
      <c r="I25" s="73" t="s">
        <v>113</v>
      </c>
      <c r="J25" s="73" t="s">
        <v>114</v>
      </c>
      <c r="K25">
        <v>45264</v>
      </c>
      <c r="L25" s="73" t="s">
        <v>57</v>
      </c>
      <c r="M25" t="s">
        <v>47</v>
      </c>
      <c r="N25" t="s">
        <v>38</v>
      </c>
    </row>
    <row r="26" spans="1:14" x14ac:dyDescent="0.3">
      <c r="A26">
        <v>25</v>
      </c>
      <c r="B26" s="73" t="s">
        <v>182</v>
      </c>
      <c r="C26" t="s">
        <v>183</v>
      </c>
      <c r="D26" s="73" t="s">
        <v>88</v>
      </c>
      <c r="E26" t="s">
        <v>43</v>
      </c>
      <c r="F26" t="s">
        <v>44</v>
      </c>
      <c r="G26" s="73" t="s">
        <v>47</v>
      </c>
      <c r="H26" t="s">
        <v>184</v>
      </c>
      <c r="I26" s="73" t="s">
        <v>113</v>
      </c>
      <c r="J26" s="73" t="s">
        <v>114</v>
      </c>
      <c r="K26">
        <v>45300</v>
      </c>
      <c r="L26" s="73" t="s">
        <v>57</v>
      </c>
      <c r="M26" t="s">
        <v>47</v>
      </c>
      <c r="N26" t="s">
        <v>38</v>
      </c>
    </row>
    <row r="27" spans="1:14" x14ac:dyDescent="0.3">
      <c r="A27">
        <v>26</v>
      </c>
      <c r="B27" s="73" t="s">
        <v>185</v>
      </c>
      <c r="C27" t="s">
        <v>137</v>
      </c>
      <c r="D27" s="73" t="s">
        <v>91</v>
      </c>
      <c r="E27" t="s">
        <v>43</v>
      </c>
      <c r="F27" t="s">
        <v>68</v>
      </c>
      <c r="G27" s="73" t="s">
        <v>47</v>
      </c>
      <c r="H27" t="s">
        <v>186</v>
      </c>
      <c r="I27" s="73" t="s">
        <v>113</v>
      </c>
      <c r="J27" s="73" t="s">
        <v>114</v>
      </c>
      <c r="K27">
        <v>45264</v>
      </c>
      <c r="L27" s="73" t="s">
        <v>57</v>
      </c>
      <c r="M27" t="s">
        <v>47</v>
      </c>
      <c r="N27" t="s">
        <v>38</v>
      </c>
    </row>
    <row r="28" spans="1:14" x14ac:dyDescent="0.3">
      <c r="A28">
        <v>27</v>
      </c>
      <c r="B28" s="73" t="s">
        <v>187</v>
      </c>
      <c r="C28" t="s">
        <v>188</v>
      </c>
      <c r="D28" s="73" t="s">
        <v>93</v>
      </c>
      <c r="E28" t="s">
        <v>43</v>
      </c>
      <c r="F28" t="s">
        <v>44</v>
      </c>
      <c r="G28" s="73" t="s">
        <v>47</v>
      </c>
      <c r="H28" t="s">
        <v>189</v>
      </c>
      <c r="I28" s="73" t="s">
        <v>113</v>
      </c>
      <c r="J28" s="73" t="s">
        <v>114</v>
      </c>
      <c r="K28">
        <v>45300</v>
      </c>
      <c r="L28" s="73" t="s">
        <v>57</v>
      </c>
      <c r="M28" t="s">
        <v>47</v>
      </c>
      <c r="N28" t="s">
        <v>38</v>
      </c>
    </row>
    <row r="29" spans="1:14" x14ac:dyDescent="0.3">
      <c r="A29">
        <v>28</v>
      </c>
      <c r="B29" s="73" t="s">
        <v>190</v>
      </c>
      <c r="C29" t="s">
        <v>137</v>
      </c>
      <c r="D29" s="73" t="s">
        <v>94</v>
      </c>
      <c r="E29" t="s">
        <v>43</v>
      </c>
      <c r="F29" t="s">
        <v>68</v>
      </c>
      <c r="G29" s="73" t="s">
        <v>47</v>
      </c>
      <c r="H29" t="s">
        <v>191</v>
      </c>
      <c r="I29" s="73" t="s">
        <v>113</v>
      </c>
      <c r="J29" s="73" t="s">
        <v>114</v>
      </c>
      <c r="K29">
        <v>45300</v>
      </c>
      <c r="L29" s="73" t="s">
        <v>57</v>
      </c>
      <c r="M29" t="s">
        <v>47</v>
      </c>
      <c r="N29" t="s">
        <v>38</v>
      </c>
    </row>
    <row r="30" spans="1:14" x14ac:dyDescent="0.3">
      <c r="A30">
        <v>29</v>
      </c>
      <c r="B30" s="73" t="s">
        <v>192</v>
      </c>
      <c r="C30" t="s">
        <v>193</v>
      </c>
      <c r="D30" s="73" t="s">
        <v>95</v>
      </c>
      <c r="E30" t="s">
        <v>43</v>
      </c>
      <c r="F30" t="s">
        <v>44</v>
      </c>
      <c r="G30" s="73" t="s">
        <v>47</v>
      </c>
      <c r="H30" t="s">
        <v>194</v>
      </c>
      <c r="I30" s="73" t="s">
        <v>113</v>
      </c>
      <c r="J30" s="73" t="s">
        <v>114</v>
      </c>
      <c r="K30">
        <v>45264</v>
      </c>
      <c r="L30" s="73" t="s">
        <v>57</v>
      </c>
      <c r="M30" t="s">
        <v>47</v>
      </c>
      <c r="N30" t="s">
        <v>38</v>
      </c>
    </row>
    <row r="31" spans="1:14" x14ac:dyDescent="0.3">
      <c r="A31">
        <v>30</v>
      </c>
      <c r="B31" s="73" t="s">
        <v>195</v>
      </c>
      <c r="C31" t="s">
        <v>196</v>
      </c>
      <c r="D31" s="73" t="s">
        <v>96</v>
      </c>
      <c r="E31" t="s">
        <v>43</v>
      </c>
      <c r="F31" t="s">
        <v>44</v>
      </c>
      <c r="G31" s="73" t="s">
        <v>47</v>
      </c>
      <c r="H31" t="s">
        <v>197</v>
      </c>
      <c r="I31" s="73" t="s">
        <v>113</v>
      </c>
      <c r="J31" s="73" t="s">
        <v>114</v>
      </c>
      <c r="K31">
        <v>45264</v>
      </c>
      <c r="L31" s="73" t="s">
        <v>57</v>
      </c>
      <c r="M31" t="s">
        <v>47</v>
      </c>
      <c r="N31" t="s">
        <v>38</v>
      </c>
    </row>
    <row r="32" spans="1:14" x14ac:dyDescent="0.3">
      <c r="A32">
        <v>31</v>
      </c>
      <c r="B32" s="73" t="s">
        <v>516</v>
      </c>
      <c r="C32" t="s">
        <v>517</v>
      </c>
      <c r="D32" s="73" t="s">
        <v>471</v>
      </c>
      <c r="E32" t="s">
        <v>54</v>
      </c>
      <c r="F32" t="s">
        <v>44</v>
      </c>
      <c r="G32" s="73" t="s">
        <v>47</v>
      </c>
      <c r="H32" t="s">
        <v>518</v>
      </c>
      <c r="I32" s="73" t="s">
        <v>113</v>
      </c>
      <c r="J32" s="73" t="s">
        <v>114</v>
      </c>
      <c r="K32">
        <v>45372</v>
      </c>
      <c r="L32" s="73" t="s">
        <v>49</v>
      </c>
      <c r="M32" t="s">
        <v>47</v>
      </c>
      <c r="N32" t="s">
        <v>519</v>
      </c>
    </row>
    <row r="33" spans="1:14" x14ac:dyDescent="0.3">
      <c r="A33">
        <v>32</v>
      </c>
      <c r="B33" s="73" t="s">
        <v>520</v>
      </c>
      <c r="C33" t="s">
        <v>521</v>
      </c>
      <c r="D33" s="73" t="s">
        <v>473</v>
      </c>
      <c r="E33" t="s">
        <v>54</v>
      </c>
      <c r="F33" t="s">
        <v>44</v>
      </c>
      <c r="G33" s="73" t="s">
        <v>47</v>
      </c>
      <c r="H33" t="s">
        <v>522</v>
      </c>
      <c r="I33" s="73" t="s">
        <v>113</v>
      </c>
      <c r="J33" s="73" t="s">
        <v>114</v>
      </c>
      <c r="K33">
        <v>45372</v>
      </c>
      <c r="L33" s="73" t="s">
        <v>49</v>
      </c>
      <c r="M33" t="s">
        <v>47</v>
      </c>
      <c r="N33" t="s">
        <v>519</v>
      </c>
    </row>
    <row r="34" spans="1:14" x14ac:dyDescent="0.3">
      <c r="A34">
        <v>33</v>
      </c>
      <c r="B34" s="73" t="s">
        <v>523</v>
      </c>
      <c r="C34" t="s">
        <v>521</v>
      </c>
      <c r="D34" s="73" t="s">
        <v>474</v>
      </c>
      <c r="E34" t="s">
        <v>54</v>
      </c>
      <c r="F34" t="s">
        <v>68</v>
      </c>
      <c r="G34" s="73" t="s">
        <v>47</v>
      </c>
      <c r="H34" t="s">
        <v>522</v>
      </c>
      <c r="I34" s="73" t="s">
        <v>113</v>
      </c>
      <c r="J34" s="73" t="s">
        <v>114</v>
      </c>
      <c r="K34">
        <v>45372</v>
      </c>
      <c r="L34" s="73" t="s">
        <v>49</v>
      </c>
      <c r="M34" t="s">
        <v>47</v>
      </c>
      <c r="N34" t="s">
        <v>519</v>
      </c>
    </row>
    <row r="35" spans="1:14" x14ac:dyDescent="0.3">
      <c r="A35">
        <v>34</v>
      </c>
      <c r="B35" s="73" t="s">
        <v>524</v>
      </c>
      <c r="C35" t="s">
        <v>525</v>
      </c>
      <c r="D35" s="73" t="s">
        <v>475</v>
      </c>
      <c r="E35" t="s">
        <v>43</v>
      </c>
      <c r="F35" t="s">
        <v>44</v>
      </c>
      <c r="G35" s="73" t="s">
        <v>47</v>
      </c>
      <c r="H35" t="s">
        <v>526</v>
      </c>
      <c r="I35" s="73" t="s">
        <v>113</v>
      </c>
      <c r="J35" s="73" t="s">
        <v>114</v>
      </c>
      <c r="K35">
        <v>45372</v>
      </c>
      <c r="L35" s="73" t="s">
        <v>49</v>
      </c>
      <c r="M35" t="s">
        <v>47</v>
      </c>
      <c r="N35" t="s">
        <v>519</v>
      </c>
    </row>
    <row r="36" spans="1:14" x14ac:dyDescent="0.3">
      <c r="A36">
        <v>35</v>
      </c>
      <c r="B36" s="73" t="s">
        <v>527</v>
      </c>
      <c r="C36" t="s">
        <v>528</v>
      </c>
      <c r="D36" s="73" t="s">
        <v>476</v>
      </c>
      <c r="E36" t="s">
        <v>43</v>
      </c>
      <c r="F36" t="s">
        <v>44</v>
      </c>
      <c r="G36" s="73" t="s">
        <v>47</v>
      </c>
      <c r="H36" t="s">
        <v>529</v>
      </c>
      <c r="I36" s="73" t="s">
        <v>113</v>
      </c>
      <c r="J36" s="73" t="s">
        <v>114</v>
      </c>
      <c r="K36">
        <v>45372</v>
      </c>
      <c r="L36" s="73" t="s">
        <v>49</v>
      </c>
      <c r="M36" t="s">
        <v>47</v>
      </c>
      <c r="N36" t="s">
        <v>519</v>
      </c>
    </row>
    <row r="37" spans="1:14" x14ac:dyDescent="0.3">
      <c r="A37">
        <v>36</v>
      </c>
      <c r="B37" s="73" t="s">
        <v>530</v>
      </c>
      <c r="C37" t="s">
        <v>531</v>
      </c>
      <c r="D37" s="73" t="s">
        <v>477</v>
      </c>
      <c r="E37" t="s">
        <v>43</v>
      </c>
      <c r="F37" t="s">
        <v>44</v>
      </c>
      <c r="G37" s="73" t="s">
        <v>47</v>
      </c>
      <c r="H37" t="s">
        <v>532</v>
      </c>
      <c r="I37" s="73" t="s">
        <v>113</v>
      </c>
      <c r="J37" s="73" t="s">
        <v>114</v>
      </c>
      <c r="K37">
        <v>45372</v>
      </c>
      <c r="L37" s="73" t="s">
        <v>49</v>
      </c>
      <c r="M37" t="s">
        <v>47</v>
      </c>
      <c r="N37" t="s">
        <v>519</v>
      </c>
    </row>
    <row r="38" spans="1:14" x14ac:dyDescent="0.3">
      <c r="A38">
        <v>37</v>
      </c>
      <c r="B38" s="73" t="s">
        <v>533</v>
      </c>
      <c r="C38" t="s">
        <v>534</v>
      </c>
      <c r="D38" s="73" t="s">
        <v>478</v>
      </c>
      <c r="E38" t="s">
        <v>43</v>
      </c>
      <c r="F38" t="s">
        <v>44</v>
      </c>
      <c r="G38" s="73" t="s">
        <v>47</v>
      </c>
      <c r="H38" t="s">
        <v>532</v>
      </c>
      <c r="I38" s="73" t="s">
        <v>113</v>
      </c>
      <c r="J38" s="73" t="s">
        <v>114</v>
      </c>
      <c r="K38">
        <v>45372</v>
      </c>
      <c r="L38" s="73" t="s">
        <v>49</v>
      </c>
      <c r="M38" t="s">
        <v>47</v>
      </c>
      <c r="N38" t="s">
        <v>519</v>
      </c>
    </row>
    <row r="39" spans="1:14" x14ac:dyDescent="0.3">
      <c r="A39">
        <v>38</v>
      </c>
      <c r="B39" s="73" t="s">
        <v>535</v>
      </c>
      <c r="C39" t="s">
        <v>536</v>
      </c>
      <c r="D39" s="73" t="s">
        <v>479</v>
      </c>
      <c r="E39" t="s">
        <v>43</v>
      </c>
      <c r="F39" t="s">
        <v>44</v>
      </c>
      <c r="G39" s="73" t="s">
        <v>47</v>
      </c>
      <c r="H39" t="s">
        <v>532</v>
      </c>
      <c r="I39" s="73" t="s">
        <v>113</v>
      </c>
      <c r="J39" s="73" t="s">
        <v>114</v>
      </c>
      <c r="K39">
        <v>45372</v>
      </c>
      <c r="L39" s="73" t="s">
        <v>49</v>
      </c>
      <c r="M39" t="s">
        <v>47</v>
      </c>
      <c r="N39" t="s">
        <v>519</v>
      </c>
    </row>
    <row r="40" spans="1:14" x14ac:dyDescent="0.3">
      <c r="A40">
        <v>39</v>
      </c>
      <c r="B40" s="73" t="s">
        <v>537</v>
      </c>
      <c r="C40" t="s">
        <v>538</v>
      </c>
      <c r="D40" s="73" t="s">
        <v>480</v>
      </c>
      <c r="E40" t="s">
        <v>43</v>
      </c>
      <c r="F40" t="s">
        <v>44</v>
      </c>
      <c r="G40" s="73" t="s">
        <v>47</v>
      </c>
      <c r="H40" t="s">
        <v>532</v>
      </c>
      <c r="I40" s="73" t="s">
        <v>113</v>
      </c>
      <c r="J40" s="73" t="s">
        <v>114</v>
      </c>
      <c r="K40">
        <v>45372</v>
      </c>
      <c r="L40" s="73" t="s">
        <v>49</v>
      </c>
      <c r="M40" t="s">
        <v>47</v>
      </c>
      <c r="N40" t="s">
        <v>519</v>
      </c>
    </row>
    <row r="41" spans="1:14" x14ac:dyDescent="0.3">
      <c r="A41">
        <v>40</v>
      </c>
      <c r="B41" s="73" t="s">
        <v>539</v>
      </c>
      <c r="C41" t="s">
        <v>540</v>
      </c>
      <c r="D41" s="73" t="s">
        <v>481</v>
      </c>
      <c r="E41" t="s">
        <v>43</v>
      </c>
      <c r="F41" t="s">
        <v>44</v>
      </c>
      <c r="G41" s="73" t="s">
        <v>47</v>
      </c>
      <c r="H41" t="s">
        <v>532</v>
      </c>
      <c r="I41" s="73" t="s">
        <v>113</v>
      </c>
      <c r="J41" s="73" t="s">
        <v>114</v>
      </c>
      <c r="K41">
        <v>45372</v>
      </c>
      <c r="L41" s="73" t="s">
        <v>49</v>
      </c>
      <c r="M41" t="s">
        <v>47</v>
      </c>
      <c r="N41" t="s">
        <v>519</v>
      </c>
    </row>
    <row r="42" spans="1:14" x14ac:dyDescent="0.3">
      <c r="A42">
        <v>41</v>
      </c>
      <c r="B42" s="73" t="s">
        <v>541</v>
      </c>
      <c r="C42" t="s">
        <v>542</v>
      </c>
      <c r="D42" s="73" t="s">
        <v>482</v>
      </c>
      <c r="E42" t="s">
        <v>43</v>
      </c>
      <c r="F42" t="s">
        <v>44</v>
      </c>
      <c r="G42" s="73" t="s">
        <v>47</v>
      </c>
      <c r="H42" t="s">
        <v>532</v>
      </c>
      <c r="I42" s="73" t="s">
        <v>113</v>
      </c>
      <c r="J42" s="73" t="s">
        <v>114</v>
      </c>
      <c r="K42">
        <v>45372</v>
      </c>
      <c r="L42" s="73" t="s">
        <v>49</v>
      </c>
      <c r="M42" t="s">
        <v>47</v>
      </c>
      <c r="N42" t="s">
        <v>519</v>
      </c>
    </row>
    <row r="43" spans="1:14" x14ac:dyDescent="0.3">
      <c r="A43">
        <v>42</v>
      </c>
      <c r="B43" s="73" t="s">
        <v>543</v>
      </c>
      <c r="C43" t="s">
        <v>544</v>
      </c>
      <c r="D43" s="73" t="s">
        <v>483</v>
      </c>
      <c r="E43" t="s">
        <v>43</v>
      </c>
      <c r="F43" t="s">
        <v>44</v>
      </c>
      <c r="G43" s="73" t="s">
        <v>47</v>
      </c>
      <c r="H43" t="s">
        <v>545</v>
      </c>
      <c r="I43" s="73" t="s">
        <v>113</v>
      </c>
      <c r="J43" s="73" t="s">
        <v>114</v>
      </c>
      <c r="K43">
        <v>45372</v>
      </c>
      <c r="L43" s="73" t="s">
        <v>49</v>
      </c>
      <c r="M43" t="s">
        <v>47</v>
      </c>
      <c r="N43" t="s">
        <v>519</v>
      </c>
    </row>
    <row r="44" spans="1:14" x14ac:dyDescent="0.3">
      <c r="A44">
        <v>43</v>
      </c>
      <c r="B44" s="73" t="s">
        <v>546</v>
      </c>
      <c r="C44" t="s">
        <v>547</v>
      </c>
      <c r="D44" s="73" t="s">
        <v>484</v>
      </c>
      <c r="E44" t="s">
        <v>43</v>
      </c>
      <c r="F44" t="s">
        <v>44</v>
      </c>
      <c r="G44" s="73" t="s">
        <v>47</v>
      </c>
      <c r="H44" t="s">
        <v>548</v>
      </c>
      <c r="I44" s="73" t="s">
        <v>113</v>
      </c>
      <c r="J44" s="73" t="s">
        <v>114</v>
      </c>
      <c r="K44">
        <v>45372</v>
      </c>
      <c r="L44" s="73" t="s">
        <v>49</v>
      </c>
      <c r="M44" t="s">
        <v>47</v>
      </c>
      <c r="N44" t="s">
        <v>519</v>
      </c>
    </row>
    <row r="45" spans="1:14" x14ac:dyDescent="0.3">
      <c r="A45">
        <v>44</v>
      </c>
      <c r="B45" s="73" t="s">
        <v>549</v>
      </c>
      <c r="C45" t="s">
        <v>550</v>
      </c>
      <c r="D45" s="73" t="s">
        <v>485</v>
      </c>
      <c r="E45" t="s">
        <v>43</v>
      </c>
      <c r="F45" t="s">
        <v>44</v>
      </c>
      <c r="G45" s="73" t="s">
        <v>47</v>
      </c>
      <c r="H45" t="s">
        <v>551</v>
      </c>
      <c r="I45" s="73" t="s">
        <v>113</v>
      </c>
      <c r="J45" s="73" t="s">
        <v>114</v>
      </c>
      <c r="K45">
        <v>45372</v>
      </c>
      <c r="L45" s="73" t="s">
        <v>49</v>
      </c>
      <c r="M45" t="s">
        <v>47</v>
      </c>
      <c r="N45" t="s">
        <v>519</v>
      </c>
    </row>
    <row r="46" spans="1:14" x14ac:dyDescent="0.3">
      <c r="A46">
        <v>45</v>
      </c>
      <c r="B46" s="73" t="s">
        <v>552</v>
      </c>
      <c r="C46" t="s">
        <v>553</v>
      </c>
      <c r="D46" s="73" t="s">
        <v>486</v>
      </c>
      <c r="E46" t="s">
        <v>43</v>
      </c>
      <c r="F46" t="s">
        <v>44</v>
      </c>
      <c r="G46" s="73" t="s">
        <v>47</v>
      </c>
      <c r="H46" t="s">
        <v>548</v>
      </c>
      <c r="I46" s="73" t="s">
        <v>113</v>
      </c>
      <c r="J46" s="73" t="s">
        <v>114</v>
      </c>
      <c r="K46">
        <v>45372</v>
      </c>
      <c r="L46" s="73" t="s">
        <v>49</v>
      </c>
      <c r="M46" t="s">
        <v>47</v>
      </c>
      <c r="N46" t="s">
        <v>519</v>
      </c>
    </row>
    <row r="47" spans="1:14" x14ac:dyDescent="0.3">
      <c r="A47">
        <v>46</v>
      </c>
      <c r="B47" s="73" t="s">
        <v>554</v>
      </c>
      <c r="C47" t="s">
        <v>555</v>
      </c>
      <c r="D47" s="73" t="s">
        <v>488</v>
      </c>
      <c r="E47" t="s">
        <v>54</v>
      </c>
      <c r="F47" t="s">
        <v>44</v>
      </c>
      <c r="G47" s="73" t="s">
        <v>47</v>
      </c>
      <c r="H47" t="s">
        <v>556</v>
      </c>
      <c r="I47" s="73" t="s">
        <v>113</v>
      </c>
      <c r="J47" s="73" t="s">
        <v>114</v>
      </c>
      <c r="K47">
        <v>45372</v>
      </c>
      <c r="L47" s="73" t="s">
        <v>49</v>
      </c>
      <c r="M47" t="s">
        <v>47</v>
      </c>
      <c r="N47" t="s">
        <v>519</v>
      </c>
    </row>
    <row r="48" spans="1:14" x14ac:dyDescent="0.3">
      <c r="A48">
        <v>47</v>
      </c>
      <c r="B48" s="73" t="s">
        <v>557</v>
      </c>
      <c r="C48" t="s">
        <v>558</v>
      </c>
      <c r="D48" s="73" t="s">
        <v>489</v>
      </c>
      <c r="E48" t="s">
        <v>54</v>
      </c>
      <c r="F48" t="s">
        <v>44</v>
      </c>
      <c r="G48" s="73" t="s">
        <v>47</v>
      </c>
      <c r="H48" t="s">
        <v>559</v>
      </c>
      <c r="I48" s="73" t="s">
        <v>113</v>
      </c>
      <c r="J48" s="73" t="s">
        <v>114</v>
      </c>
      <c r="K48">
        <v>45372</v>
      </c>
      <c r="L48" s="73" t="s">
        <v>49</v>
      </c>
      <c r="M48" t="s">
        <v>47</v>
      </c>
      <c r="N48" t="s">
        <v>519</v>
      </c>
    </row>
    <row r="49" spans="1:14" x14ac:dyDescent="0.3">
      <c r="A49">
        <v>48</v>
      </c>
      <c r="B49" s="73" t="s">
        <v>560</v>
      </c>
      <c r="C49" t="s">
        <v>561</v>
      </c>
      <c r="D49" s="73" t="s">
        <v>490</v>
      </c>
      <c r="E49" t="s">
        <v>54</v>
      </c>
      <c r="F49" t="s">
        <v>44</v>
      </c>
      <c r="G49" s="73" t="s">
        <v>47</v>
      </c>
      <c r="H49" t="s">
        <v>562</v>
      </c>
      <c r="I49" s="73" t="s">
        <v>113</v>
      </c>
      <c r="J49" s="73" t="s">
        <v>114</v>
      </c>
      <c r="K49">
        <v>45372</v>
      </c>
      <c r="L49" s="73" t="s">
        <v>49</v>
      </c>
      <c r="M49" t="s">
        <v>47</v>
      </c>
      <c r="N49" t="s">
        <v>519</v>
      </c>
    </row>
    <row r="50" spans="1:14" x14ac:dyDescent="0.3">
      <c r="A50">
        <v>49</v>
      </c>
      <c r="B50" s="73" t="s">
        <v>563</v>
      </c>
      <c r="C50" t="s">
        <v>564</v>
      </c>
      <c r="D50" s="73" t="s">
        <v>491</v>
      </c>
      <c r="E50" t="s">
        <v>43</v>
      </c>
      <c r="F50" t="s">
        <v>44</v>
      </c>
      <c r="G50" s="73" t="s">
        <v>47</v>
      </c>
      <c r="H50" t="s">
        <v>565</v>
      </c>
      <c r="I50" s="73" t="s">
        <v>113</v>
      </c>
      <c r="J50" s="73" t="s">
        <v>114</v>
      </c>
      <c r="K50">
        <v>45372</v>
      </c>
      <c r="L50" s="73" t="s">
        <v>49</v>
      </c>
      <c r="M50" t="s">
        <v>47</v>
      </c>
      <c r="N50" t="s">
        <v>519</v>
      </c>
    </row>
    <row r="51" spans="1:14" x14ac:dyDescent="0.3">
      <c r="A51">
        <v>50</v>
      </c>
      <c r="B51" s="73" t="s">
        <v>566</v>
      </c>
      <c r="C51" t="s">
        <v>567</v>
      </c>
      <c r="D51" s="73" t="s">
        <v>492</v>
      </c>
      <c r="E51" t="s">
        <v>43</v>
      </c>
      <c r="F51" t="s">
        <v>44</v>
      </c>
      <c r="G51" s="73" t="s">
        <v>47</v>
      </c>
      <c r="H51" t="s">
        <v>568</v>
      </c>
      <c r="I51" s="73" t="s">
        <v>113</v>
      </c>
      <c r="J51" s="73" t="s">
        <v>114</v>
      </c>
      <c r="K51">
        <v>45372</v>
      </c>
      <c r="L51" s="73" t="s">
        <v>49</v>
      </c>
      <c r="M51" t="s">
        <v>47</v>
      </c>
      <c r="N51" t="s">
        <v>519</v>
      </c>
    </row>
    <row r="52" spans="1:14" x14ac:dyDescent="0.3">
      <c r="A52">
        <v>51</v>
      </c>
      <c r="B52" s="73" t="s">
        <v>569</v>
      </c>
      <c r="C52" t="s">
        <v>570</v>
      </c>
      <c r="D52" s="73" t="s">
        <v>494</v>
      </c>
      <c r="E52" t="s">
        <v>54</v>
      </c>
      <c r="F52" t="s">
        <v>44</v>
      </c>
      <c r="G52" s="73" t="s">
        <v>47</v>
      </c>
      <c r="H52" t="s">
        <v>571</v>
      </c>
      <c r="I52" s="73" t="s">
        <v>113</v>
      </c>
      <c r="J52" s="73" t="s">
        <v>114</v>
      </c>
      <c r="K52">
        <v>45372</v>
      </c>
      <c r="L52" s="73" t="s">
        <v>49</v>
      </c>
      <c r="M52" t="s">
        <v>47</v>
      </c>
      <c r="N52" t="s">
        <v>519</v>
      </c>
    </row>
    <row r="53" spans="1:14" x14ac:dyDescent="0.3">
      <c r="A53">
        <v>52</v>
      </c>
      <c r="B53" s="73" t="s">
        <v>572</v>
      </c>
      <c r="C53" t="s">
        <v>573</v>
      </c>
      <c r="D53" s="73" t="s">
        <v>495</v>
      </c>
      <c r="E53" t="s">
        <v>54</v>
      </c>
      <c r="F53" t="s">
        <v>44</v>
      </c>
      <c r="G53" s="73" t="s">
        <v>47</v>
      </c>
      <c r="H53" t="s">
        <v>574</v>
      </c>
      <c r="I53" s="73" t="s">
        <v>113</v>
      </c>
      <c r="J53" s="73" t="s">
        <v>114</v>
      </c>
      <c r="K53">
        <v>45372</v>
      </c>
      <c r="L53" s="73" t="s">
        <v>49</v>
      </c>
      <c r="M53" t="s">
        <v>47</v>
      </c>
      <c r="N53" t="s">
        <v>519</v>
      </c>
    </row>
    <row r="54" spans="1:14" x14ac:dyDescent="0.3">
      <c r="A54">
        <v>53</v>
      </c>
      <c r="B54" s="73" t="s">
        <v>575</v>
      </c>
      <c r="C54" t="s">
        <v>576</v>
      </c>
      <c r="D54" s="73" t="s">
        <v>496</v>
      </c>
      <c r="E54" t="s">
        <v>54</v>
      </c>
      <c r="F54" t="s">
        <v>44</v>
      </c>
      <c r="G54" s="73" t="s">
        <v>47</v>
      </c>
      <c r="H54" t="s">
        <v>577</v>
      </c>
      <c r="I54" s="73" t="s">
        <v>113</v>
      </c>
      <c r="J54" s="73" t="s">
        <v>114</v>
      </c>
      <c r="K54">
        <v>45372</v>
      </c>
      <c r="L54" s="73" t="s">
        <v>49</v>
      </c>
      <c r="M54" t="s">
        <v>47</v>
      </c>
      <c r="N54" t="s">
        <v>519</v>
      </c>
    </row>
    <row r="55" spans="1:14" x14ac:dyDescent="0.3">
      <c r="A55">
        <v>54</v>
      </c>
      <c r="B55" s="73" t="s">
        <v>578</v>
      </c>
      <c r="C55" t="s">
        <v>579</v>
      </c>
      <c r="D55" s="73" t="s">
        <v>497</v>
      </c>
      <c r="E55" t="s">
        <v>43</v>
      </c>
      <c r="F55" t="s">
        <v>44</v>
      </c>
      <c r="G55" s="73" t="s">
        <v>47</v>
      </c>
      <c r="H55" t="s">
        <v>580</v>
      </c>
      <c r="I55" s="73" t="s">
        <v>113</v>
      </c>
      <c r="J55" s="73" t="s">
        <v>114</v>
      </c>
      <c r="K55">
        <v>45372</v>
      </c>
      <c r="L55" s="73" t="s">
        <v>49</v>
      </c>
      <c r="M55" t="s">
        <v>47</v>
      </c>
      <c r="N55" t="s">
        <v>519</v>
      </c>
    </row>
    <row r="56" spans="1:14" x14ac:dyDescent="0.3">
      <c r="A56">
        <v>55</v>
      </c>
      <c r="B56" s="73" t="s">
        <v>581</v>
      </c>
      <c r="C56" t="s">
        <v>582</v>
      </c>
      <c r="D56" s="73" t="s">
        <v>498</v>
      </c>
      <c r="E56" t="s">
        <v>43</v>
      </c>
      <c r="F56" t="s">
        <v>44</v>
      </c>
      <c r="G56" s="73" t="s">
        <v>47</v>
      </c>
      <c r="H56" t="s">
        <v>583</v>
      </c>
      <c r="I56" s="73" t="s">
        <v>113</v>
      </c>
      <c r="J56" s="73" t="s">
        <v>114</v>
      </c>
      <c r="K56">
        <v>45372</v>
      </c>
      <c r="L56" s="73" t="s">
        <v>49</v>
      </c>
      <c r="M56" t="s">
        <v>47</v>
      </c>
      <c r="N56" t="s">
        <v>519</v>
      </c>
    </row>
    <row r="57" spans="1:14" x14ac:dyDescent="0.3">
      <c r="A57">
        <v>56</v>
      </c>
      <c r="B57" s="73" t="s">
        <v>584</v>
      </c>
      <c r="C57" t="s">
        <v>585</v>
      </c>
      <c r="D57" s="73" t="s">
        <v>500</v>
      </c>
      <c r="E57" t="s">
        <v>54</v>
      </c>
      <c r="F57" t="s">
        <v>44</v>
      </c>
      <c r="G57" s="73" t="s">
        <v>47</v>
      </c>
      <c r="H57" t="s">
        <v>586</v>
      </c>
      <c r="I57" s="73" t="s">
        <v>113</v>
      </c>
      <c r="J57" s="73" t="s">
        <v>114</v>
      </c>
      <c r="K57">
        <v>45372</v>
      </c>
      <c r="L57" s="73" t="s">
        <v>49</v>
      </c>
      <c r="M57" t="s">
        <v>47</v>
      </c>
      <c r="N57" t="s">
        <v>519</v>
      </c>
    </row>
    <row r="58" spans="1:14" x14ac:dyDescent="0.3">
      <c r="A58">
        <v>57</v>
      </c>
      <c r="B58" s="73" t="s">
        <v>587</v>
      </c>
      <c r="C58" t="s">
        <v>588</v>
      </c>
      <c r="D58" s="73" t="s">
        <v>501</v>
      </c>
      <c r="E58" t="s">
        <v>54</v>
      </c>
      <c r="F58" t="s">
        <v>44</v>
      </c>
      <c r="G58" s="73" t="s">
        <v>47</v>
      </c>
      <c r="H58" t="s">
        <v>589</v>
      </c>
      <c r="I58" s="73" t="s">
        <v>113</v>
      </c>
      <c r="J58" s="73" t="s">
        <v>114</v>
      </c>
      <c r="K58">
        <v>45372</v>
      </c>
      <c r="L58" s="73" t="s">
        <v>49</v>
      </c>
      <c r="M58" t="s">
        <v>47</v>
      </c>
      <c r="N58" t="s">
        <v>519</v>
      </c>
    </row>
    <row r="59" spans="1:14" x14ac:dyDescent="0.3">
      <c r="A59">
        <v>58</v>
      </c>
      <c r="B59" s="73" t="s">
        <v>590</v>
      </c>
      <c r="C59" t="s">
        <v>591</v>
      </c>
      <c r="D59" s="73" t="s">
        <v>502</v>
      </c>
      <c r="E59" t="s">
        <v>54</v>
      </c>
      <c r="F59" t="s">
        <v>44</v>
      </c>
      <c r="G59" s="73" t="s">
        <v>47</v>
      </c>
      <c r="H59" t="s">
        <v>592</v>
      </c>
      <c r="I59" s="73" t="s">
        <v>113</v>
      </c>
      <c r="J59" s="73" t="s">
        <v>114</v>
      </c>
      <c r="K59">
        <v>45372</v>
      </c>
      <c r="L59" s="73" t="s">
        <v>49</v>
      </c>
      <c r="M59" t="s">
        <v>47</v>
      </c>
      <c r="N59" t="s">
        <v>519</v>
      </c>
    </row>
    <row r="60" spans="1:14" x14ac:dyDescent="0.3">
      <c r="A60">
        <v>59</v>
      </c>
      <c r="B60" s="73" t="s">
        <v>593</v>
      </c>
      <c r="C60" t="s">
        <v>594</v>
      </c>
      <c r="D60" s="73" t="s">
        <v>503</v>
      </c>
      <c r="E60" t="s">
        <v>43</v>
      </c>
      <c r="F60" t="s">
        <v>44</v>
      </c>
      <c r="G60" s="73" t="s">
        <v>47</v>
      </c>
      <c r="H60" t="s">
        <v>595</v>
      </c>
      <c r="I60" s="73" t="s">
        <v>113</v>
      </c>
      <c r="J60" s="73" t="s">
        <v>114</v>
      </c>
      <c r="K60">
        <v>45372</v>
      </c>
      <c r="L60" s="73" t="s">
        <v>49</v>
      </c>
      <c r="M60" t="s">
        <v>47</v>
      </c>
      <c r="N60" t="s">
        <v>519</v>
      </c>
    </row>
    <row r="61" spans="1:14" x14ac:dyDescent="0.3">
      <c r="A61">
        <v>60</v>
      </c>
      <c r="B61" s="73" t="s">
        <v>596</v>
      </c>
      <c r="C61" t="s">
        <v>597</v>
      </c>
      <c r="D61" s="73" t="s">
        <v>504</v>
      </c>
      <c r="E61" t="s">
        <v>43</v>
      </c>
      <c r="F61" t="s">
        <v>44</v>
      </c>
      <c r="G61" s="73" t="s">
        <v>47</v>
      </c>
      <c r="H61" t="s">
        <v>598</v>
      </c>
      <c r="I61" s="73" t="s">
        <v>113</v>
      </c>
      <c r="J61" s="73" t="s">
        <v>114</v>
      </c>
      <c r="K61">
        <v>45372</v>
      </c>
      <c r="L61" s="73" t="s">
        <v>49</v>
      </c>
      <c r="M61" t="s">
        <v>47</v>
      </c>
      <c r="N61" t="s">
        <v>519</v>
      </c>
    </row>
    <row r="62" spans="1:14" x14ac:dyDescent="0.3">
      <c r="A62">
        <v>61</v>
      </c>
      <c r="B62" s="73" t="s">
        <v>599</v>
      </c>
      <c r="C62" t="s">
        <v>600</v>
      </c>
      <c r="D62" s="73" t="s">
        <v>506</v>
      </c>
      <c r="E62" t="s">
        <v>54</v>
      </c>
      <c r="F62" t="s">
        <v>44</v>
      </c>
      <c r="G62" s="73" t="s">
        <v>47</v>
      </c>
      <c r="H62" t="s">
        <v>601</v>
      </c>
      <c r="I62" s="73" t="s">
        <v>113</v>
      </c>
      <c r="J62" s="73" t="s">
        <v>114</v>
      </c>
      <c r="K62">
        <v>45372</v>
      </c>
      <c r="L62" s="73" t="s">
        <v>49</v>
      </c>
      <c r="M62" t="s">
        <v>47</v>
      </c>
      <c r="N62" t="s">
        <v>519</v>
      </c>
    </row>
    <row r="63" spans="1:14" x14ac:dyDescent="0.3">
      <c r="A63">
        <v>62</v>
      </c>
      <c r="B63" s="73" t="s">
        <v>602</v>
      </c>
      <c r="C63" t="s">
        <v>603</v>
      </c>
      <c r="D63" s="73" t="s">
        <v>507</v>
      </c>
      <c r="E63" t="s">
        <v>54</v>
      </c>
      <c r="F63" t="s">
        <v>44</v>
      </c>
      <c r="G63" s="73" t="s">
        <v>47</v>
      </c>
      <c r="H63" t="s">
        <v>604</v>
      </c>
      <c r="I63" s="73" t="s">
        <v>113</v>
      </c>
      <c r="J63" s="73" t="s">
        <v>114</v>
      </c>
      <c r="K63">
        <v>45372</v>
      </c>
      <c r="L63" s="73" t="s">
        <v>49</v>
      </c>
      <c r="M63" t="s">
        <v>47</v>
      </c>
      <c r="N63" t="s">
        <v>519</v>
      </c>
    </row>
    <row r="64" spans="1:14" x14ac:dyDescent="0.3">
      <c r="A64">
        <v>63</v>
      </c>
      <c r="B64" s="73" t="s">
        <v>605</v>
      </c>
      <c r="C64" t="s">
        <v>606</v>
      </c>
      <c r="D64" s="73" t="s">
        <v>508</v>
      </c>
      <c r="E64" t="s">
        <v>54</v>
      </c>
      <c r="F64" t="s">
        <v>44</v>
      </c>
      <c r="G64" s="73" t="s">
        <v>47</v>
      </c>
      <c r="H64" t="s">
        <v>607</v>
      </c>
      <c r="I64" s="73" t="s">
        <v>113</v>
      </c>
      <c r="J64" s="73" t="s">
        <v>114</v>
      </c>
      <c r="K64">
        <v>45372</v>
      </c>
      <c r="L64" s="73" t="s">
        <v>49</v>
      </c>
      <c r="M64" t="s">
        <v>47</v>
      </c>
      <c r="N64" t="s">
        <v>519</v>
      </c>
    </row>
    <row r="65" spans="1:14" x14ac:dyDescent="0.3">
      <c r="A65">
        <v>64</v>
      </c>
      <c r="B65" s="73" t="s">
        <v>608</v>
      </c>
      <c r="C65" t="s">
        <v>609</v>
      </c>
      <c r="D65" s="73" t="s">
        <v>509</v>
      </c>
      <c r="E65" t="s">
        <v>43</v>
      </c>
      <c r="F65" t="s">
        <v>44</v>
      </c>
      <c r="G65" s="73" t="s">
        <v>47</v>
      </c>
      <c r="H65" t="s">
        <v>610</v>
      </c>
      <c r="I65" s="73" t="s">
        <v>113</v>
      </c>
      <c r="J65" s="73" t="s">
        <v>114</v>
      </c>
      <c r="K65">
        <v>45372</v>
      </c>
      <c r="L65" s="73" t="s">
        <v>49</v>
      </c>
      <c r="M65" t="s">
        <v>47</v>
      </c>
      <c r="N65" t="s">
        <v>519</v>
      </c>
    </row>
    <row r="66" spans="1:14" x14ac:dyDescent="0.3">
      <c r="A66">
        <v>65</v>
      </c>
      <c r="B66" s="73" t="s">
        <v>611</v>
      </c>
      <c r="C66" t="s">
        <v>612</v>
      </c>
      <c r="D66" s="73" t="s">
        <v>510</v>
      </c>
      <c r="E66" t="s">
        <v>43</v>
      </c>
      <c r="F66" t="s">
        <v>44</v>
      </c>
      <c r="G66" s="73" t="s">
        <v>47</v>
      </c>
      <c r="H66" t="s">
        <v>583</v>
      </c>
      <c r="I66" s="73" t="s">
        <v>113</v>
      </c>
      <c r="J66" s="73" t="s">
        <v>114</v>
      </c>
      <c r="K66">
        <v>45372</v>
      </c>
      <c r="L66" s="73" t="s">
        <v>49</v>
      </c>
      <c r="M66" t="s">
        <v>47</v>
      </c>
      <c r="N66" t="s">
        <v>519</v>
      </c>
    </row>
    <row r="67" spans="1:14" x14ac:dyDescent="0.3">
      <c r="A67">
        <v>66</v>
      </c>
      <c r="B67" s="73" t="s">
        <v>613</v>
      </c>
      <c r="C67" t="s">
        <v>614</v>
      </c>
      <c r="D67" s="73" t="s">
        <v>511</v>
      </c>
      <c r="E67" t="s">
        <v>54</v>
      </c>
      <c r="F67" t="s">
        <v>44</v>
      </c>
      <c r="G67" s="73" t="s">
        <v>47</v>
      </c>
      <c r="H67" t="s">
        <v>615</v>
      </c>
      <c r="I67" s="73" t="s">
        <v>113</v>
      </c>
      <c r="J67" s="73" t="s">
        <v>114</v>
      </c>
      <c r="K67">
        <v>45372</v>
      </c>
      <c r="L67" s="73" t="s">
        <v>49</v>
      </c>
      <c r="M67" t="s">
        <v>47</v>
      </c>
      <c r="N67" t="s">
        <v>519</v>
      </c>
    </row>
    <row r="68" spans="1:14" x14ac:dyDescent="0.3">
      <c r="A68">
        <v>67</v>
      </c>
      <c r="B68" s="73" t="s">
        <v>616</v>
      </c>
      <c r="C68" t="s">
        <v>617</v>
      </c>
      <c r="D68" s="73" t="s">
        <v>512</v>
      </c>
      <c r="E68" t="s">
        <v>54</v>
      </c>
      <c r="F68" t="s">
        <v>44</v>
      </c>
      <c r="G68" s="73" t="s">
        <v>47</v>
      </c>
      <c r="H68" t="s">
        <v>618</v>
      </c>
      <c r="I68" s="73" t="s">
        <v>113</v>
      </c>
      <c r="J68" s="73" t="s">
        <v>114</v>
      </c>
      <c r="K68">
        <v>45372</v>
      </c>
      <c r="L68" s="73" t="s">
        <v>49</v>
      </c>
      <c r="M68" t="s">
        <v>47</v>
      </c>
      <c r="N68" t="s">
        <v>519</v>
      </c>
    </row>
    <row r="69" spans="1:14" x14ac:dyDescent="0.3">
      <c r="A69">
        <v>68</v>
      </c>
      <c r="B69" s="73" t="s">
        <v>628</v>
      </c>
      <c r="C69" t="s">
        <v>629</v>
      </c>
      <c r="D69" s="73" t="s">
        <v>620</v>
      </c>
      <c r="E69" t="s">
        <v>43</v>
      </c>
      <c r="F69" t="s">
        <v>44</v>
      </c>
      <c r="G69" s="73" t="s">
        <v>47</v>
      </c>
      <c r="H69">
        <v>45452</v>
      </c>
      <c r="I69" s="73" t="s">
        <v>113</v>
      </c>
      <c r="J69" s="73" t="s">
        <v>114</v>
      </c>
      <c r="K69">
        <v>45454</v>
      </c>
      <c r="L69" s="73" t="s">
        <v>57</v>
      </c>
      <c r="M69" t="s">
        <v>47</v>
      </c>
      <c r="N69" t="s">
        <v>634</v>
      </c>
    </row>
    <row r="70" spans="1:14" x14ac:dyDescent="0.3">
      <c r="A70">
        <v>69</v>
      </c>
      <c r="B70" s="73" t="s">
        <v>520</v>
      </c>
      <c r="C70" t="s">
        <v>521</v>
      </c>
      <c r="D70" s="73" t="s">
        <v>473</v>
      </c>
      <c r="E70" t="s">
        <v>54</v>
      </c>
      <c r="F70" t="s">
        <v>44</v>
      </c>
      <c r="G70" s="73" t="s">
        <v>47</v>
      </c>
      <c r="H70" t="s">
        <v>631</v>
      </c>
      <c r="I70" s="73" t="s">
        <v>113</v>
      </c>
      <c r="J70" s="73" t="s">
        <v>114</v>
      </c>
      <c r="K70">
        <v>45454</v>
      </c>
      <c r="L70" s="73" t="s">
        <v>57</v>
      </c>
      <c r="M70" t="s">
        <v>47</v>
      </c>
      <c r="N70" t="s">
        <v>634</v>
      </c>
    </row>
    <row r="71" spans="1:14" x14ac:dyDescent="0.3">
      <c r="A71">
        <v>70</v>
      </c>
      <c r="B71" s="73" t="s">
        <v>632</v>
      </c>
      <c r="C71" t="s">
        <v>633</v>
      </c>
      <c r="D71" s="73" t="s">
        <v>621</v>
      </c>
      <c r="E71" t="s">
        <v>54</v>
      </c>
      <c r="F71" t="s">
        <v>44</v>
      </c>
      <c r="G71" s="73" t="s">
        <v>47</v>
      </c>
      <c r="H71" t="s">
        <v>631</v>
      </c>
      <c r="I71" s="73" t="s">
        <v>113</v>
      </c>
      <c r="J71" s="73" t="s">
        <v>114</v>
      </c>
      <c r="K71">
        <v>45454</v>
      </c>
      <c r="L71" s="73" t="s">
        <v>57</v>
      </c>
      <c r="M71" t="s">
        <v>47</v>
      </c>
      <c r="N71" t="s">
        <v>634</v>
      </c>
    </row>
    <row r="72" spans="1:14" x14ac:dyDescent="0.3">
      <c r="A72">
        <v>71</v>
      </c>
      <c r="B72" s="73" t="s">
        <v>635</v>
      </c>
      <c r="C72" t="s">
        <v>636</v>
      </c>
      <c r="D72" s="73" t="s">
        <v>622</v>
      </c>
      <c r="E72" t="s">
        <v>43</v>
      </c>
      <c r="F72" t="s">
        <v>44</v>
      </c>
      <c r="G72" s="73" t="s">
        <v>47</v>
      </c>
      <c r="H72" t="s">
        <v>637</v>
      </c>
      <c r="I72" s="73" t="s">
        <v>113</v>
      </c>
      <c r="J72" s="73" t="s">
        <v>114</v>
      </c>
      <c r="K72">
        <v>45454</v>
      </c>
      <c r="L72" s="73" t="s">
        <v>57</v>
      </c>
      <c r="M72" t="s">
        <v>47</v>
      </c>
      <c r="N72" t="s">
        <v>634</v>
      </c>
    </row>
    <row r="73" spans="1:14" x14ac:dyDescent="0.3">
      <c r="A73">
        <v>72</v>
      </c>
      <c r="B73" s="73" t="s">
        <v>638</v>
      </c>
      <c r="C73" t="s">
        <v>639</v>
      </c>
      <c r="D73" s="73" t="s">
        <v>623</v>
      </c>
      <c r="E73" t="s">
        <v>43</v>
      </c>
      <c r="F73" t="s">
        <v>44</v>
      </c>
      <c r="G73" s="73" t="s">
        <v>47</v>
      </c>
      <c r="H73" t="s">
        <v>640</v>
      </c>
      <c r="I73" s="73" t="s">
        <v>113</v>
      </c>
      <c r="J73" s="73" t="s">
        <v>114</v>
      </c>
      <c r="K73">
        <v>45454</v>
      </c>
      <c r="L73" s="73" t="s">
        <v>57</v>
      </c>
      <c r="M73" t="s">
        <v>47</v>
      </c>
      <c r="N73" t="s">
        <v>634</v>
      </c>
    </row>
    <row r="74" spans="1:14" x14ac:dyDescent="0.3">
      <c r="A74">
        <v>73</v>
      </c>
      <c r="B74" s="73" t="s">
        <v>641</v>
      </c>
      <c r="C74" t="s">
        <v>547</v>
      </c>
      <c r="D74" s="73" t="s">
        <v>624</v>
      </c>
      <c r="E74" t="s">
        <v>43</v>
      </c>
      <c r="F74" t="s">
        <v>68</v>
      </c>
      <c r="G74" s="73" t="s">
        <v>47</v>
      </c>
      <c r="H74" t="s">
        <v>642</v>
      </c>
      <c r="I74" s="73" t="s">
        <v>113</v>
      </c>
      <c r="J74" s="73" t="s">
        <v>114</v>
      </c>
      <c r="K74">
        <v>45454</v>
      </c>
      <c r="L74" s="73" t="s">
        <v>57</v>
      </c>
      <c r="M74" t="s">
        <v>47</v>
      </c>
      <c r="N74" t="s">
        <v>634</v>
      </c>
    </row>
    <row r="75" spans="1:14" x14ac:dyDescent="0.3">
      <c r="A75">
        <v>74</v>
      </c>
      <c r="B75" s="73" t="s">
        <v>643</v>
      </c>
      <c r="C75" t="s">
        <v>550</v>
      </c>
      <c r="D75" s="73" t="s">
        <v>625</v>
      </c>
      <c r="E75" t="s">
        <v>43</v>
      </c>
      <c r="F75" t="s">
        <v>68</v>
      </c>
      <c r="G75" s="73" t="s">
        <v>47</v>
      </c>
      <c r="H75" t="s">
        <v>642</v>
      </c>
      <c r="I75" s="73" t="s">
        <v>113</v>
      </c>
      <c r="J75" s="73" t="s">
        <v>114</v>
      </c>
      <c r="K75">
        <v>45454</v>
      </c>
      <c r="L75" s="73" t="s">
        <v>57</v>
      </c>
      <c r="M75" t="s">
        <v>47</v>
      </c>
      <c r="N75" t="s">
        <v>634</v>
      </c>
    </row>
    <row r="76" spans="1:14" x14ac:dyDescent="0.3">
      <c r="A76">
        <v>75</v>
      </c>
      <c r="B76" s="73" t="s">
        <v>644</v>
      </c>
      <c r="C76" t="s">
        <v>645</v>
      </c>
      <c r="D76" s="73" t="s">
        <v>626</v>
      </c>
      <c r="E76" t="s">
        <v>43</v>
      </c>
      <c r="F76" t="s">
        <v>68</v>
      </c>
      <c r="G76" s="73" t="s">
        <v>47</v>
      </c>
      <c r="H76" t="s">
        <v>646</v>
      </c>
      <c r="I76" s="73" t="s">
        <v>113</v>
      </c>
      <c r="J76" s="73" t="s">
        <v>114</v>
      </c>
      <c r="K76">
        <v>45454</v>
      </c>
      <c r="L76" s="73" t="s">
        <v>57</v>
      </c>
      <c r="M76" t="s">
        <v>47</v>
      </c>
      <c r="N76" t="s">
        <v>634</v>
      </c>
    </row>
    <row r="77" spans="1:14" x14ac:dyDescent="0.3">
      <c r="A77">
        <v>76</v>
      </c>
      <c r="B77" s="73" t="s">
        <v>647</v>
      </c>
      <c r="C77" t="s">
        <v>648</v>
      </c>
      <c r="D77" s="73" t="s">
        <v>627</v>
      </c>
      <c r="E77" t="s">
        <v>43</v>
      </c>
      <c r="F77" t="s">
        <v>68</v>
      </c>
      <c r="G77" s="73" t="s">
        <v>47</v>
      </c>
      <c r="H77" t="s">
        <v>649</v>
      </c>
      <c r="I77" s="73" t="s">
        <v>113</v>
      </c>
      <c r="J77" s="73" t="s">
        <v>114</v>
      </c>
      <c r="K77">
        <v>45454</v>
      </c>
      <c r="L77" s="73" t="s">
        <v>57</v>
      </c>
      <c r="M77" t="s">
        <v>47</v>
      </c>
      <c r="N77" t="s">
        <v>634</v>
      </c>
    </row>
    <row r="78" spans="1:14" x14ac:dyDescent="0.3">
      <c r="A78">
        <v>77</v>
      </c>
      <c r="B78" s="73" t="s">
        <v>726</v>
      </c>
      <c r="C78" t="s">
        <v>727</v>
      </c>
      <c r="D78" s="73" t="s">
        <v>655</v>
      </c>
      <c r="E78" t="s">
        <v>43</v>
      </c>
      <c r="F78" t="s">
        <v>68</v>
      </c>
      <c r="G78" s="73" t="s">
        <v>47</v>
      </c>
      <c r="H78">
        <v>45404</v>
      </c>
      <c r="I78" s="73" t="s">
        <v>113</v>
      </c>
      <c r="J78" s="73" t="s">
        <v>114</v>
      </c>
      <c r="K78">
        <v>45503</v>
      </c>
      <c r="L78" s="73" t="s">
        <v>57</v>
      </c>
      <c r="M78" t="s">
        <v>47</v>
      </c>
      <c r="N78" t="s">
        <v>651</v>
      </c>
    </row>
    <row r="79" spans="1:14" x14ac:dyDescent="0.3">
      <c r="A79">
        <v>78</v>
      </c>
      <c r="B79" s="73" t="s">
        <v>728</v>
      </c>
      <c r="C79" t="s">
        <v>517</v>
      </c>
      <c r="D79" s="73" t="s">
        <v>656</v>
      </c>
      <c r="E79" t="s">
        <v>54</v>
      </c>
      <c r="F79" t="s">
        <v>44</v>
      </c>
      <c r="G79" s="73" t="s">
        <v>47</v>
      </c>
      <c r="H79" t="s">
        <v>729</v>
      </c>
      <c r="I79" s="73" t="s">
        <v>113</v>
      </c>
      <c r="J79" s="73" t="s">
        <v>114</v>
      </c>
      <c r="K79">
        <v>45503</v>
      </c>
      <c r="L79" s="73" t="s">
        <v>57</v>
      </c>
      <c r="M79" t="s">
        <v>47</v>
      </c>
      <c r="N79" t="s">
        <v>651</v>
      </c>
    </row>
    <row r="80" spans="1:14" x14ac:dyDescent="0.3">
      <c r="A80">
        <v>79</v>
      </c>
      <c r="B80" s="73" t="s">
        <v>730</v>
      </c>
      <c r="C80" t="s">
        <v>731</v>
      </c>
      <c r="D80" s="73" t="s">
        <v>657</v>
      </c>
      <c r="E80" t="s">
        <v>54</v>
      </c>
      <c r="F80" t="s">
        <v>44</v>
      </c>
      <c r="G80" s="73" t="s">
        <v>47</v>
      </c>
      <c r="H80" t="s">
        <v>732</v>
      </c>
      <c r="I80" s="73" t="s">
        <v>113</v>
      </c>
      <c r="J80" s="73" t="s">
        <v>114</v>
      </c>
      <c r="K80">
        <v>45503</v>
      </c>
      <c r="L80" s="73" t="s">
        <v>57</v>
      </c>
      <c r="M80" t="s">
        <v>47</v>
      </c>
      <c r="N80" t="s">
        <v>651</v>
      </c>
    </row>
    <row r="81" spans="1:14" x14ac:dyDescent="0.3">
      <c r="A81">
        <v>80</v>
      </c>
      <c r="B81" s="73" t="s">
        <v>733</v>
      </c>
      <c r="C81" t="s">
        <v>734</v>
      </c>
      <c r="D81" s="73" t="s">
        <v>658</v>
      </c>
      <c r="E81" t="s">
        <v>54</v>
      </c>
      <c r="F81" t="s">
        <v>44</v>
      </c>
      <c r="G81" s="73" t="s">
        <v>47</v>
      </c>
      <c r="H81" t="s">
        <v>735</v>
      </c>
      <c r="I81" s="73" t="s">
        <v>113</v>
      </c>
      <c r="J81" s="73" t="s">
        <v>114</v>
      </c>
      <c r="K81">
        <v>45503</v>
      </c>
      <c r="L81" s="73" t="s">
        <v>57</v>
      </c>
      <c r="M81" t="s">
        <v>47</v>
      </c>
      <c r="N81" t="s">
        <v>651</v>
      </c>
    </row>
    <row r="82" spans="1:14" x14ac:dyDescent="0.3">
      <c r="A82">
        <v>81</v>
      </c>
      <c r="B82" s="73" t="s">
        <v>736</v>
      </c>
      <c r="C82" t="s">
        <v>737</v>
      </c>
      <c r="D82" s="73" t="s">
        <v>659</v>
      </c>
      <c r="E82" t="s">
        <v>43</v>
      </c>
      <c r="F82" t="s">
        <v>44</v>
      </c>
      <c r="G82" s="73" t="s">
        <v>47</v>
      </c>
      <c r="H82" t="s">
        <v>738</v>
      </c>
      <c r="I82" s="73" t="s">
        <v>113</v>
      </c>
      <c r="J82" s="73" t="s">
        <v>114</v>
      </c>
      <c r="K82">
        <v>45503</v>
      </c>
      <c r="L82" s="73" t="s">
        <v>57</v>
      </c>
      <c r="M82" t="s">
        <v>47</v>
      </c>
      <c r="N82" t="s">
        <v>651</v>
      </c>
    </row>
    <row r="83" spans="1:14" x14ac:dyDescent="0.3">
      <c r="A83">
        <v>82</v>
      </c>
      <c r="B83" s="73" t="s">
        <v>739</v>
      </c>
      <c r="C83" t="s">
        <v>740</v>
      </c>
      <c r="D83" s="73" t="s">
        <v>660</v>
      </c>
      <c r="E83" t="s">
        <v>43</v>
      </c>
      <c r="F83" t="s">
        <v>44</v>
      </c>
      <c r="G83" s="73" t="s">
        <v>47</v>
      </c>
      <c r="H83" t="s">
        <v>741</v>
      </c>
      <c r="I83" s="73" t="s">
        <v>113</v>
      </c>
      <c r="J83" s="73" t="s">
        <v>114</v>
      </c>
      <c r="K83">
        <v>45503</v>
      </c>
      <c r="L83" s="73" t="s">
        <v>57</v>
      </c>
      <c r="M83" t="s">
        <v>47</v>
      </c>
      <c r="N83" t="s">
        <v>651</v>
      </c>
    </row>
    <row r="84" spans="1:14" x14ac:dyDescent="0.3">
      <c r="A84">
        <v>83</v>
      </c>
      <c r="B84" s="73" t="s">
        <v>742</v>
      </c>
      <c r="C84" t="s">
        <v>743</v>
      </c>
      <c r="D84" s="73" t="s">
        <v>661</v>
      </c>
      <c r="E84" t="s">
        <v>43</v>
      </c>
      <c r="F84" t="s">
        <v>44</v>
      </c>
      <c r="G84" s="73" t="s">
        <v>47</v>
      </c>
      <c r="H84" t="s">
        <v>744</v>
      </c>
      <c r="I84" s="73" t="s">
        <v>113</v>
      </c>
      <c r="J84" s="73" t="s">
        <v>114</v>
      </c>
      <c r="K84">
        <v>45503</v>
      </c>
      <c r="L84" s="73" t="s">
        <v>57</v>
      </c>
      <c r="M84" t="s">
        <v>47</v>
      </c>
      <c r="N84" t="s">
        <v>651</v>
      </c>
    </row>
    <row r="85" spans="1:14" x14ac:dyDescent="0.3">
      <c r="A85">
        <v>84</v>
      </c>
      <c r="B85" s="73" t="s">
        <v>641</v>
      </c>
      <c r="C85" t="s">
        <v>745</v>
      </c>
      <c r="D85" s="73" t="s">
        <v>662</v>
      </c>
      <c r="E85" t="s">
        <v>43</v>
      </c>
      <c r="F85" t="s">
        <v>68</v>
      </c>
      <c r="G85" s="73" t="s">
        <v>47</v>
      </c>
      <c r="H85" t="s">
        <v>746</v>
      </c>
      <c r="I85" s="73" t="s">
        <v>113</v>
      </c>
      <c r="J85" s="73" t="s">
        <v>114</v>
      </c>
      <c r="K85">
        <v>45503</v>
      </c>
      <c r="L85" s="73" t="s">
        <v>57</v>
      </c>
      <c r="M85" t="s">
        <v>47</v>
      </c>
      <c r="N85" t="s">
        <v>651</v>
      </c>
    </row>
    <row r="86" spans="1:14" x14ac:dyDescent="0.3">
      <c r="A86">
        <v>85</v>
      </c>
      <c r="B86" s="73" t="s">
        <v>747</v>
      </c>
      <c r="C86" t="s">
        <v>748</v>
      </c>
      <c r="D86" s="73" t="s">
        <v>663</v>
      </c>
      <c r="E86" t="s">
        <v>43</v>
      </c>
      <c r="F86" t="s">
        <v>44</v>
      </c>
      <c r="G86" s="73" t="s">
        <v>47</v>
      </c>
      <c r="H86" t="s">
        <v>749</v>
      </c>
      <c r="I86" s="73" t="s">
        <v>113</v>
      </c>
      <c r="J86" s="73" t="s">
        <v>114</v>
      </c>
      <c r="K86">
        <v>45503</v>
      </c>
      <c r="L86" s="73" t="s">
        <v>57</v>
      </c>
      <c r="M86" t="s">
        <v>47</v>
      </c>
      <c r="N86" t="s">
        <v>651</v>
      </c>
    </row>
    <row r="87" spans="1:14" x14ac:dyDescent="0.3">
      <c r="A87">
        <v>86</v>
      </c>
      <c r="B87" s="73" t="s">
        <v>750</v>
      </c>
      <c r="C87" t="s">
        <v>751</v>
      </c>
      <c r="D87" s="73" t="s">
        <v>664</v>
      </c>
      <c r="E87" t="s">
        <v>43</v>
      </c>
      <c r="F87" t="s">
        <v>44</v>
      </c>
      <c r="G87" s="73" t="s">
        <v>47</v>
      </c>
      <c r="H87" t="s">
        <v>752</v>
      </c>
      <c r="I87" s="73" t="s">
        <v>113</v>
      </c>
      <c r="J87" s="73" t="s">
        <v>114</v>
      </c>
      <c r="K87">
        <v>45503</v>
      </c>
      <c r="L87" s="73" t="s">
        <v>57</v>
      </c>
      <c r="M87" t="s">
        <v>47</v>
      </c>
      <c r="N87" t="s">
        <v>651</v>
      </c>
    </row>
    <row r="88" spans="1:14" x14ac:dyDescent="0.3">
      <c r="A88">
        <v>87</v>
      </c>
      <c r="B88" s="73" t="s">
        <v>753</v>
      </c>
      <c r="C88" t="s">
        <v>754</v>
      </c>
      <c r="D88" s="73" t="s">
        <v>665</v>
      </c>
      <c r="E88" t="s">
        <v>43</v>
      </c>
      <c r="F88" t="s">
        <v>68</v>
      </c>
      <c r="G88" s="73" t="s">
        <v>47</v>
      </c>
      <c r="H88" t="s">
        <v>755</v>
      </c>
      <c r="I88" s="73" t="s">
        <v>113</v>
      </c>
      <c r="J88" s="73" t="s">
        <v>114</v>
      </c>
      <c r="K88">
        <v>45503</v>
      </c>
      <c r="L88" s="73" t="s">
        <v>57</v>
      </c>
      <c r="M88" t="s">
        <v>47</v>
      </c>
      <c r="N88" t="s">
        <v>651</v>
      </c>
    </row>
    <row r="89" spans="1:14" x14ac:dyDescent="0.3">
      <c r="A89">
        <v>88</v>
      </c>
      <c r="B89" s="73" t="s">
        <v>756</v>
      </c>
      <c r="C89" t="s">
        <v>757</v>
      </c>
      <c r="D89" s="73" t="s">
        <v>666</v>
      </c>
      <c r="E89" t="s">
        <v>43</v>
      </c>
      <c r="F89" t="s">
        <v>68</v>
      </c>
      <c r="G89" s="73" t="s">
        <v>47</v>
      </c>
      <c r="H89" t="s">
        <v>758</v>
      </c>
      <c r="I89" s="73" t="s">
        <v>113</v>
      </c>
      <c r="J89" s="73" t="s">
        <v>114</v>
      </c>
      <c r="K89">
        <v>45503</v>
      </c>
      <c r="L89" s="73" t="s">
        <v>57</v>
      </c>
      <c r="M89" t="s">
        <v>47</v>
      </c>
      <c r="N89" t="s">
        <v>651</v>
      </c>
    </row>
    <row r="90" spans="1:14" x14ac:dyDescent="0.3">
      <c r="A90">
        <v>89</v>
      </c>
      <c r="B90" s="73" t="s">
        <v>759</v>
      </c>
      <c r="C90" t="s">
        <v>760</v>
      </c>
      <c r="D90" s="73" t="s">
        <v>655</v>
      </c>
      <c r="E90" t="s">
        <v>43</v>
      </c>
      <c r="F90" t="s">
        <v>68</v>
      </c>
      <c r="G90" s="73" t="s">
        <v>47</v>
      </c>
      <c r="H90">
        <v>45404</v>
      </c>
      <c r="I90" s="73" t="s">
        <v>113</v>
      </c>
      <c r="J90" s="73" t="s">
        <v>114</v>
      </c>
      <c r="K90">
        <v>45503</v>
      </c>
      <c r="L90" s="73" t="s">
        <v>57</v>
      </c>
      <c r="M90" t="s">
        <v>47</v>
      </c>
      <c r="N90" t="s">
        <v>653</v>
      </c>
    </row>
    <row r="91" spans="1:14" x14ac:dyDescent="0.3">
      <c r="A91">
        <v>90</v>
      </c>
      <c r="B91" s="73" t="s">
        <v>761</v>
      </c>
      <c r="C91" t="s">
        <v>762</v>
      </c>
      <c r="D91" s="73" t="s">
        <v>667</v>
      </c>
      <c r="E91" t="s">
        <v>54</v>
      </c>
      <c r="F91" t="s">
        <v>44</v>
      </c>
      <c r="G91" s="73" t="s">
        <v>47</v>
      </c>
      <c r="H91" t="s">
        <v>763</v>
      </c>
      <c r="I91" s="73" t="s">
        <v>113</v>
      </c>
      <c r="J91" s="73" t="s">
        <v>114</v>
      </c>
      <c r="K91">
        <v>45503</v>
      </c>
      <c r="L91" s="73" t="s">
        <v>57</v>
      </c>
      <c r="M91" t="s">
        <v>47</v>
      </c>
      <c r="N91" t="s">
        <v>653</v>
      </c>
    </row>
    <row r="92" spans="1:14" x14ac:dyDescent="0.3">
      <c r="A92">
        <v>91</v>
      </c>
      <c r="B92" s="73" t="s">
        <v>764</v>
      </c>
      <c r="C92" t="s">
        <v>765</v>
      </c>
      <c r="D92" s="73" t="s">
        <v>668</v>
      </c>
      <c r="E92" t="s">
        <v>54</v>
      </c>
      <c r="F92" t="s">
        <v>68</v>
      </c>
      <c r="G92" s="73" t="s">
        <v>47</v>
      </c>
      <c r="H92" t="s">
        <v>766</v>
      </c>
      <c r="I92" s="73" t="s">
        <v>113</v>
      </c>
      <c r="J92" s="73" t="s">
        <v>114</v>
      </c>
      <c r="K92">
        <v>45503</v>
      </c>
      <c r="L92" s="73" t="s">
        <v>57</v>
      </c>
      <c r="M92" t="s">
        <v>47</v>
      </c>
      <c r="N92" t="s">
        <v>653</v>
      </c>
    </row>
    <row r="93" spans="1:14" x14ac:dyDescent="0.3">
      <c r="A93">
        <v>92</v>
      </c>
      <c r="B93" s="73" t="s">
        <v>767</v>
      </c>
      <c r="C93" t="s">
        <v>768</v>
      </c>
      <c r="D93" s="73" t="s">
        <v>669</v>
      </c>
      <c r="E93" t="s">
        <v>54</v>
      </c>
      <c r="F93" t="s">
        <v>44</v>
      </c>
      <c r="G93" s="73" t="s">
        <v>47</v>
      </c>
      <c r="H93" t="s">
        <v>769</v>
      </c>
      <c r="I93" s="73" t="s">
        <v>113</v>
      </c>
      <c r="J93" s="73" t="s">
        <v>114</v>
      </c>
      <c r="K93">
        <v>45503</v>
      </c>
      <c r="L93" s="73" t="s">
        <v>57</v>
      </c>
      <c r="M93" t="s">
        <v>47</v>
      </c>
      <c r="N93" t="s">
        <v>653</v>
      </c>
    </row>
    <row r="94" spans="1:14" x14ac:dyDescent="0.3">
      <c r="A94">
        <v>93</v>
      </c>
      <c r="B94" s="73" t="s">
        <v>770</v>
      </c>
      <c r="C94" t="s">
        <v>771</v>
      </c>
      <c r="D94" s="73" t="s">
        <v>670</v>
      </c>
      <c r="E94" t="s">
        <v>43</v>
      </c>
      <c r="F94" t="s">
        <v>44</v>
      </c>
      <c r="G94" s="73" t="s">
        <v>47</v>
      </c>
      <c r="H94" t="s">
        <v>772</v>
      </c>
      <c r="I94" s="73" t="s">
        <v>113</v>
      </c>
      <c r="J94" s="73" t="s">
        <v>114</v>
      </c>
      <c r="K94">
        <v>45503</v>
      </c>
      <c r="L94" s="73" t="s">
        <v>57</v>
      </c>
      <c r="M94" t="s">
        <v>47</v>
      </c>
      <c r="N94" t="s">
        <v>653</v>
      </c>
    </row>
    <row r="95" spans="1:14" x14ac:dyDescent="0.3">
      <c r="A95">
        <v>94</v>
      </c>
      <c r="B95" s="73" t="s">
        <v>728</v>
      </c>
      <c r="C95" t="s">
        <v>773</v>
      </c>
      <c r="D95" s="73" t="s">
        <v>656</v>
      </c>
      <c r="E95" t="s">
        <v>43</v>
      </c>
      <c r="F95" t="s">
        <v>44</v>
      </c>
      <c r="G95" s="73" t="s">
        <v>47</v>
      </c>
      <c r="H95" t="s">
        <v>774</v>
      </c>
      <c r="I95" s="73" t="s">
        <v>113</v>
      </c>
      <c r="J95" s="73" t="s">
        <v>114</v>
      </c>
      <c r="K95">
        <v>45503</v>
      </c>
      <c r="L95" s="73" t="s">
        <v>57</v>
      </c>
      <c r="M95" t="s">
        <v>47</v>
      </c>
      <c r="N95" t="s">
        <v>653</v>
      </c>
    </row>
    <row r="96" spans="1:14" x14ac:dyDescent="0.3">
      <c r="A96">
        <v>95</v>
      </c>
      <c r="B96" s="73" t="s">
        <v>730</v>
      </c>
      <c r="C96" t="s">
        <v>775</v>
      </c>
      <c r="D96" s="73" t="s">
        <v>657</v>
      </c>
      <c r="E96" t="s">
        <v>43</v>
      </c>
      <c r="F96" t="s">
        <v>44</v>
      </c>
      <c r="G96" s="73" t="s">
        <v>47</v>
      </c>
      <c r="H96" t="s">
        <v>776</v>
      </c>
      <c r="I96" s="73" t="s">
        <v>113</v>
      </c>
      <c r="J96" s="73" t="s">
        <v>114</v>
      </c>
      <c r="K96">
        <v>45503</v>
      </c>
      <c r="L96" s="73" t="s">
        <v>57</v>
      </c>
      <c r="M96" t="s">
        <v>47</v>
      </c>
      <c r="N96" t="s">
        <v>653</v>
      </c>
    </row>
    <row r="97" spans="1:14" x14ac:dyDescent="0.3">
      <c r="A97">
        <v>96</v>
      </c>
      <c r="B97" s="73" t="s">
        <v>736</v>
      </c>
      <c r="C97" t="s">
        <v>737</v>
      </c>
      <c r="D97" s="73" t="s">
        <v>659</v>
      </c>
      <c r="E97" t="s">
        <v>43</v>
      </c>
      <c r="F97" t="s">
        <v>44</v>
      </c>
      <c r="G97" s="73" t="s">
        <v>777</v>
      </c>
      <c r="H97" t="s">
        <v>778</v>
      </c>
      <c r="I97" s="73" t="s">
        <v>113</v>
      </c>
      <c r="J97" s="73" t="s">
        <v>114</v>
      </c>
      <c r="K97">
        <v>45503</v>
      </c>
      <c r="L97" s="73" t="s">
        <v>57</v>
      </c>
      <c r="M97" t="s">
        <v>47</v>
      </c>
      <c r="N97" t="s">
        <v>653</v>
      </c>
    </row>
    <row r="98" spans="1:14" x14ac:dyDescent="0.3">
      <c r="A98">
        <v>97</v>
      </c>
      <c r="B98" s="73" t="s">
        <v>733</v>
      </c>
      <c r="C98" t="s">
        <v>779</v>
      </c>
      <c r="D98" s="73" t="s">
        <v>658</v>
      </c>
      <c r="E98" t="s">
        <v>43</v>
      </c>
      <c r="F98" t="s">
        <v>44</v>
      </c>
      <c r="G98" s="73" t="s">
        <v>47</v>
      </c>
      <c r="H98" t="s">
        <v>780</v>
      </c>
      <c r="I98" s="73" t="s">
        <v>113</v>
      </c>
      <c r="J98" s="73" t="s">
        <v>114</v>
      </c>
      <c r="K98">
        <v>45503</v>
      </c>
      <c r="L98" s="73" t="s">
        <v>57</v>
      </c>
      <c r="M98" t="s">
        <v>47</v>
      </c>
      <c r="N98" t="s">
        <v>653</v>
      </c>
    </row>
    <row r="99" spans="1:14" x14ac:dyDescent="0.3">
      <c r="A99">
        <v>98</v>
      </c>
      <c r="B99" s="73" t="s">
        <v>781</v>
      </c>
      <c r="C99" t="s">
        <v>782</v>
      </c>
      <c r="D99" s="73" t="s">
        <v>671</v>
      </c>
      <c r="E99" t="s">
        <v>43</v>
      </c>
      <c r="F99" t="s">
        <v>44</v>
      </c>
      <c r="G99" s="73" t="s">
        <v>47</v>
      </c>
      <c r="H99" t="s">
        <v>783</v>
      </c>
      <c r="I99" s="73" t="s">
        <v>113</v>
      </c>
      <c r="J99" s="73" t="s">
        <v>114</v>
      </c>
      <c r="K99">
        <v>45503</v>
      </c>
      <c r="L99" s="73" t="s">
        <v>57</v>
      </c>
      <c r="M99" t="s">
        <v>47</v>
      </c>
      <c r="N99" t="s">
        <v>653</v>
      </c>
    </row>
    <row r="100" spans="1:14" x14ac:dyDescent="0.3">
      <c r="A100">
        <v>99</v>
      </c>
      <c r="B100" s="73" t="s">
        <v>739</v>
      </c>
      <c r="C100" t="s">
        <v>784</v>
      </c>
      <c r="D100" s="73" t="s">
        <v>660</v>
      </c>
      <c r="E100" t="s">
        <v>43</v>
      </c>
      <c r="F100" t="s">
        <v>44</v>
      </c>
      <c r="G100" s="73" t="s">
        <v>785</v>
      </c>
      <c r="H100" t="s">
        <v>786</v>
      </c>
      <c r="I100" s="73" t="s">
        <v>113</v>
      </c>
      <c r="J100" s="73" t="s">
        <v>114</v>
      </c>
      <c r="K100">
        <v>45503</v>
      </c>
      <c r="L100" s="73" t="s">
        <v>57</v>
      </c>
      <c r="M100" t="s">
        <v>47</v>
      </c>
      <c r="N100" t="s">
        <v>653</v>
      </c>
    </row>
    <row r="101" spans="1:14" x14ac:dyDescent="0.3">
      <c r="A101">
        <v>100</v>
      </c>
      <c r="B101" s="73" t="s">
        <v>787</v>
      </c>
      <c r="C101" t="s">
        <v>788</v>
      </c>
      <c r="D101" s="73" t="s">
        <v>672</v>
      </c>
      <c r="E101" t="s">
        <v>43</v>
      </c>
      <c r="F101" t="s">
        <v>68</v>
      </c>
      <c r="G101" s="73" t="s">
        <v>47</v>
      </c>
      <c r="H101" t="s">
        <v>789</v>
      </c>
      <c r="I101" s="73" t="s">
        <v>113</v>
      </c>
      <c r="J101" s="73" t="s">
        <v>114</v>
      </c>
      <c r="K101">
        <v>45503</v>
      </c>
      <c r="L101" s="73" t="s">
        <v>57</v>
      </c>
      <c r="M101" t="s">
        <v>47</v>
      </c>
      <c r="N101" t="s">
        <v>653</v>
      </c>
    </row>
    <row r="102" spans="1:14" x14ac:dyDescent="0.3">
      <c r="A102">
        <v>101</v>
      </c>
      <c r="B102" s="73" t="s">
        <v>673</v>
      </c>
      <c r="C102" t="s">
        <v>790</v>
      </c>
      <c r="D102" s="73" t="s">
        <v>673</v>
      </c>
      <c r="E102" t="s">
        <v>43</v>
      </c>
      <c r="F102" t="s">
        <v>68</v>
      </c>
      <c r="G102" s="73" t="s">
        <v>47</v>
      </c>
      <c r="H102" t="s">
        <v>789</v>
      </c>
      <c r="I102" s="73" t="s">
        <v>113</v>
      </c>
      <c r="J102" s="73" t="s">
        <v>114</v>
      </c>
      <c r="K102">
        <v>45503</v>
      </c>
      <c r="L102" s="73" t="s">
        <v>57</v>
      </c>
      <c r="M102" t="s">
        <v>47</v>
      </c>
      <c r="N102" t="s">
        <v>653</v>
      </c>
    </row>
    <row r="103" spans="1:14" x14ac:dyDescent="0.3">
      <c r="A103">
        <v>102</v>
      </c>
      <c r="B103" s="73" t="s">
        <v>791</v>
      </c>
      <c r="C103" t="s">
        <v>792</v>
      </c>
      <c r="D103" s="73" t="s">
        <v>674</v>
      </c>
      <c r="E103" t="s">
        <v>43</v>
      </c>
      <c r="F103" t="s">
        <v>68</v>
      </c>
      <c r="G103" s="73" t="s">
        <v>47</v>
      </c>
      <c r="H103" t="s">
        <v>793</v>
      </c>
      <c r="I103" s="73" t="s">
        <v>113</v>
      </c>
      <c r="J103" s="73" t="s">
        <v>114</v>
      </c>
      <c r="K103">
        <v>45503</v>
      </c>
      <c r="L103" s="73" t="s">
        <v>57</v>
      </c>
      <c r="M103" t="s">
        <v>47</v>
      </c>
      <c r="N103" t="s">
        <v>653</v>
      </c>
    </row>
    <row r="104" spans="1:14" x14ac:dyDescent="0.3">
      <c r="A104">
        <v>103</v>
      </c>
      <c r="B104" s="73" t="s">
        <v>794</v>
      </c>
      <c r="C104" t="s">
        <v>795</v>
      </c>
      <c r="D104" s="73" t="s">
        <v>675</v>
      </c>
      <c r="E104" t="s">
        <v>43</v>
      </c>
      <c r="F104" t="s">
        <v>44</v>
      </c>
      <c r="G104" s="73" t="s">
        <v>47</v>
      </c>
      <c r="H104" t="s">
        <v>796</v>
      </c>
      <c r="I104" s="73" t="s">
        <v>113</v>
      </c>
      <c r="J104" s="73" t="s">
        <v>114</v>
      </c>
      <c r="K104">
        <v>45503</v>
      </c>
      <c r="L104" s="73" t="s">
        <v>57</v>
      </c>
      <c r="M104" t="s">
        <v>47</v>
      </c>
      <c r="N104" t="s">
        <v>653</v>
      </c>
    </row>
    <row r="105" spans="1:14" x14ac:dyDescent="0.3">
      <c r="A105">
        <v>104</v>
      </c>
      <c r="B105" s="73" t="s">
        <v>797</v>
      </c>
      <c r="C105" t="s">
        <v>798</v>
      </c>
      <c r="D105" s="73" t="s">
        <v>676</v>
      </c>
      <c r="E105" t="s">
        <v>43</v>
      </c>
      <c r="F105" t="s">
        <v>44</v>
      </c>
      <c r="G105" s="73" t="s">
        <v>47</v>
      </c>
      <c r="H105" t="s">
        <v>799</v>
      </c>
      <c r="I105" s="73" t="s">
        <v>113</v>
      </c>
      <c r="J105" s="73" t="s">
        <v>114</v>
      </c>
      <c r="K105">
        <v>45503</v>
      </c>
      <c r="L105" s="73" t="s">
        <v>57</v>
      </c>
      <c r="M105" t="s">
        <v>47</v>
      </c>
      <c r="N105" t="s">
        <v>653</v>
      </c>
    </row>
    <row r="106" spans="1:14" x14ac:dyDescent="0.3">
      <c r="A106">
        <v>105</v>
      </c>
      <c r="B106" s="73" t="s">
        <v>800</v>
      </c>
      <c r="C106" t="s">
        <v>801</v>
      </c>
      <c r="D106" s="73" t="s">
        <v>677</v>
      </c>
      <c r="E106" t="s">
        <v>43</v>
      </c>
      <c r="F106" t="s">
        <v>44</v>
      </c>
      <c r="G106" s="73" t="s">
        <v>47</v>
      </c>
      <c r="H106" t="s">
        <v>802</v>
      </c>
      <c r="I106" s="73" t="s">
        <v>113</v>
      </c>
      <c r="J106" s="73" t="s">
        <v>114</v>
      </c>
      <c r="K106">
        <v>45503</v>
      </c>
      <c r="L106" s="73" t="s">
        <v>57</v>
      </c>
      <c r="M106" t="s">
        <v>47</v>
      </c>
      <c r="N106" t="s">
        <v>653</v>
      </c>
    </row>
    <row r="107" spans="1:14" x14ac:dyDescent="0.3">
      <c r="A107">
        <v>106</v>
      </c>
      <c r="B107" s="73" t="s">
        <v>803</v>
      </c>
      <c r="C107" t="s">
        <v>804</v>
      </c>
      <c r="D107" s="73" t="s">
        <v>678</v>
      </c>
      <c r="E107" t="s">
        <v>43</v>
      </c>
      <c r="F107" t="s">
        <v>68</v>
      </c>
      <c r="G107" s="73" t="s">
        <v>47</v>
      </c>
      <c r="H107" t="s">
        <v>805</v>
      </c>
      <c r="I107" s="73" t="s">
        <v>113</v>
      </c>
      <c r="J107" s="73" t="s">
        <v>114</v>
      </c>
      <c r="K107">
        <v>45503</v>
      </c>
      <c r="L107" s="73" t="s">
        <v>57</v>
      </c>
      <c r="M107" t="s">
        <v>47</v>
      </c>
      <c r="N107" t="s">
        <v>653</v>
      </c>
    </row>
    <row r="108" spans="1:14" x14ac:dyDescent="0.3">
      <c r="A108">
        <v>107</v>
      </c>
      <c r="B108" s="73" t="s">
        <v>806</v>
      </c>
      <c r="C108" t="s">
        <v>807</v>
      </c>
      <c r="D108" s="73" t="s">
        <v>679</v>
      </c>
      <c r="E108" t="s">
        <v>43</v>
      </c>
      <c r="F108" t="s">
        <v>44</v>
      </c>
      <c r="G108" s="73" t="s">
        <v>47</v>
      </c>
      <c r="H108" t="s">
        <v>808</v>
      </c>
      <c r="I108" s="73" t="s">
        <v>113</v>
      </c>
      <c r="J108" s="73" t="s">
        <v>114</v>
      </c>
      <c r="K108">
        <v>45503</v>
      </c>
      <c r="L108" s="73" t="s">
        <v>57</v>
      </c>
      <c r="M108" t="s">
        <v>47</v>
      </c>
      <c r="N108" t="s">
        <v>653</v>
      </c>
    </row>
    <row r="109" spans="1:14" x14ac:dyDescent="0.3">
      <c r="A109">
        <v>108</v>
      </c>
      <c r="B109" s="73" t="s">
        <v>809</v>
      </c>
      <c r="C109" t="s">
        <v>810</v>
      </c>
      <c r="D109" s="73" t="s">
        <v>680</v>
      </c>
      <c r="E109" t="s">
        <v>43</v>
      </c>
      <c r="F109" t="s">
        <v>44</v>
      </c>
      <c r="G109" s="73" t="s">
        <v>47</v>
      </c>
      <c r="H109" t="s">
        <v>811</v>
      </c>
      <c r="I109" s="73" t="s">
        <v>113</v>
      </c>
      <c r="J109" s="73" t="s">
        <v>114</v>
      </c>
      <c r="K109">
        <v>45503</v>
      </c>
      <c r="L109" s="73" t="s">
        <v>57</v>
      </c>
      <c r="M109" t="s">
        <v>47</v>
      </c>
      <c r="N109" t="s">
        <v>653</v>
      </c>
    </row>
    <row r="110" spans="1:14" x14ac:dyDescent="0.3">
      <c r="A110">
        <v>109</v>
      </c>
      <c r="B110" s="73" t="s">
        <v>812</v>
      </c>
      <c r="C110" t="s">
        <v>813</v>
      </c>
      <c r="D110" s="73" t="s">
        <v>681</v>
      </c>
      <c r="E110" t="s">
        <v>54</v>
      </c>
      <c r="F110" t="s">
        <v>44</v>
      </c>
      <c r="G110" s="73" t="s">
        <v>47</v>
      </c>
      <c r="H110" t="s">
        <v>814</v>
      </c>
      <c r="I110" s="73" t="s">
        <v>113</v>
      </c>
      <c r="J110" s="73" t="s">
        <v>114</v>
      </c>
      <c r="K110">
        <v>45503</v>
      </c>
      <c r="L110" s="73" t="s">
        <v>57</v>
      </c>
      <c r="M110" t="s">
        <v>47</v>
      </c>
      <c r="N110" t="s">
        <v>653</v>
      </c>
    </row>
    <row r="111" spans="1:14" x14ac:dyDescent="0.3">
      <c r="A111">
        <v>110</v>
      </c>
      <c r="B111" s="73" t="s">
        <v>815</v>
      </c>
      <c r="C111" t="s">
        <v>816</v>
      </c>
      <c r="D111" s="73" t="s">
        <v>682</v>
      </c>
      <c r="E111" t="s">
        <v>43</v>
      </c>
      <c r="F111" t="s">
        <v>68</v>
      </c>
      <c r="G111" s="73" t="s">
        <v>47</v>
      </c>
      <c r="H111" t="s">
        <v>805</v>
      </c>
      <c r="I111" s="73" t="s">
        <v>113</v>
      </c>
      <c r="J111" s="73" t="s">
        <v>114</v>
      </c>
      <c r="K111">
        <v>45503</v>
      </c>
      <c r="L111" s="73" t="s">
        <v>57</v>
      </c>
      <c r="M111" t="s">
        <v>47</v>
      </c>
      <c r="N111" t="s">
        <v>653</v>
      </c>
    </row>
    <row r="112" spans="1:14" x14ac:dyDescent="0.3">
      <c r="A112">
        <v>111</v>
      </c>
      <c r="B112" s="73" t="s">
        <v>817</v>
      </c>
      <c r="C112" t="s">
        <v>818</v>
      </c>
      <c r="D112" s="73" t="s">
        <v>683</v>
      </c>
      <c r="E112" t="s">
        <v>43</v>
      </c>
      <c r="F112" t="s">
        <v>68</v>
      </c>
      <c r="G112" s="73" t="s">
        <v>47</v>
      </c>
      <c r="H112" t="s">
        <v>819</v>
      </c>
      <c r="I112" s="73" t="s">
        <v>113</v>
      </c>
      <c r="J112" s="73" t="s">
        <v>114</v>
      </c>
      <c r="K112">
        <v>45503</v>
      </c>
      <c r="L112" s="73" t="s">
        <v>57</v>
      </c>
      <c r="M112" t="s">
        <v>47</v>
      </c>
      <c r="N112" t="s">
        <v>653</v>
      </c>
    </row>
    <row r="113" spans="1:14" x14ac:dyDescent="0.3">
      <c r="A113">
        <v>112</v>
      </c>
      <c r="B113" s="73" t="s">
        <v>820</v>
      </c>
      <c r="C113" t="s">
        <v>821</v>
      </c>
      <c r="D113" s="73" t="s">
        <v>684</v>
      </c>
      <c r="E113" t="s">
        <v>43</v>
      </c>
      <c r="F113" t="s">
        <v>44</v>
      </c>
      <c r="G113" s="73" t="s">
        <v>47</v>
      </c>
      <c r="H113" t="s">
        <v>822</v>
      </c>
      <c r="I113" s="73" t="s">
        <v>113</v>
      </c>
      <c r="J113" s="73" t="s">
        <v>114</v>
      </c>
      <c r="K113">
        <v>45503</v>
      </c>
      <c r="L113" s="73" t="s">
        <v>57</v>
      </c>
      <c r="M113" t="s">
        <v>47</v>
      </c>
      <c r="N113" t="s">
        <v>653</v>
      </c>
    </row>
    <row r="114" spans="1:14" x14ac:dyDescent="0.3">
      <c r="A114">
        <v>113</v>
      </c>
      <c r="B114" s="73" t="s">
        <v>823</v>
      </c>
      <c r="C114" t="s">
        <v>824</v>
      </c>
      <c r="D114" s="73" t="s">
        <v>685</v>
      </c>
      <c r="E114" t="s">
        <v>43</v>
      </c>
      <c r="F114" t="s">
        <v>44</v>
      </c>
      <c r="G114" s="73" t="s">
        <v>47</v>
      </c>
      <c r="H114" t="s">
        <v>825</v>
      </c>
      <c r="I114" s="73" t="s">
        <v>113</v>
      </c>
      <c r="J114" s="73" t="s">
        <v>114</v>
      </c>
      <c r="K114">
        <v>45503</v>
      </c>
      <c r="L114" s="73" t="s">
        <v>57</v>
      </c>
      <c r="M114" t="s">
        <v>47</v>
      </c>
      <c r="N114" t="s">
        <v>653</v>
      </c>
    </row>
    <row r="115" spans="1:14" x14ac:dyDescent="0.3">
      <c r="A115">
        <v>114</v>
      </c>
      <c r="B115" s="73" t="s">
        <v>826</v>
      </c>
      <c r="C115" t="s">
        <v>827</v>
      </c>
      <c r="D115" s="73" t="s">
        <v>686</v>
      </c>
      <c r="E115" t="s">
        <v>43</v>
      </c>
      <c r="F115" t="s">
        <v>44</v>
      </c>
      <c r="G115" s="73" t="s">
        <v>47</v>
      </c>
      <c r="H115" t="s">
        <v>828</v>
      </c>
      <c r="I115" s="73" t="s">
        <v>113</v>
      </c>
      <c r="J115" s="73" t="s">
        <v>114</v>
      </c>
      <c r="K115">
        <v>45503</v>
      </c>
      <c r="L115" s="73" t="s">
        <v>57</v>
      </c>
      <c r="M115" t="s">
        <v>47</v>
      </c>
      <c r="N115" t="s">
        <v>653</v>
      </c>
    </row>
    <row r="116" spans="1:14" x14ac:dyDescent="0.3">
      <c r="A116">
        <v>115</v>
      </c>
      <c r="B116" s="73" t="s">
        <v>829</v>
      </c>
      <c r="C116" t="s">
        <v>830</v>
      </c>
      <c r="D116" s="73" t="s">
        <v>687</v>
      </c>
      <c r="E116" t="s">
        <v>43</v>
      </c>
      <c r="F116" t="s">
        <v>68</v>
      </c>
      <c r="G116" s="73" t="s">
        <v>47</v>
      </c>
      <c r="H116" t="s">
        <v>831</v>
      </c>
      <c r="I116" s="73" t="s">
        <v>113</v>
      </c>
      <c r="J116" s="73" t="s">
        <v>114</v>
      </c>
      <c r="K116">
        <v>45503</v>
      </c>
      <c r="L116" s="73" t="s">
        <v>57</v>
      </c>
      <c r="M116" t="s">
        <v>47</v>
      </c>
      <c r="N116" t="s">
        <v>653</v>
      </c>
    </row>
    <row r="117" spans="1:14" x14ac:dyDescent="0.3">
      <c r="A117">
        <v>116</v>
      </c>
      <c r="B117" s="73" t="s">
        <v>832</v>
      </c>
      <c r="C117" t="s">
        <v>833</v>
      </c>
      <c r="D117" s="73" t="s">
        <v>688</v>
      </c>
      <c r="E117" t="s">
        <v>43</v>
      </c>
      <c r="F117" t="s">
        <v>44</v>
      </c>
      <c r="G117" s="73" t="s">
        <v>47</v>
      </c>
      <c r="H117" t="s">
        <v>834</v>
      </c>
      <c r="I117" s="73" t="s">
        <v>113</v>
      </c>
      <c r="J117" s="73" t="s">
        <v>114</v>
      </c>
      <c r="K117">
        <v>45503</v>
      </c>
      <c r="L117" s="73" t="s">
        <v>57</v>
      </c>
      <c r="M117" t="s">
        <v>47</v>
      </c>
      <c r="N117" t="s">
        <v>653</v>
      </c>
    </row>
    <row r="118" spans="1:14" x14ac:dyDescent="0.3">
      <c r="A118">
        <v>117</v>
      </c>
      <c r="B118" s="73" t="s">
        <v>835</v>
      </c>
      <c r="C118" t="s">
        <v>836</v>
      </c>
      <c r="D118" s="73" t="s">
        <v>689</v>
      </c>
      <c r="E118" t="s">
        <v>43</v>
      </c>
      <c r="F118" t="s">
        <v>44</v>
      </c>
      <c r="G118" s="73" t="s">
        <v>47</v>
      </c>
      <c r="H118" t="s">
        <v>837</v>
      </c>
      <c r="I118" s="73" t="s">
        <v>113</v>
      </c>
      <c r="J118" s="73" t="s">
        <v>114</v>
      </c>
      <c r="K118">
        <v>45503</v>
      </c>
      <c r="L118" s="73" t="s">
        <v>57</v>
      </c>
      <c r="M118" t="s">
        <v>47</v>
      </c>
      <c r="N118" t="s">
        <v>653</v>
      </c>
    </row>
    <row r="119" spans="1:14" x14ac:dyDescent="0.3">
      <c r="A119">
        <v>118</v>
      </c>
      <c r="B119" s="73" t="s">
        <v>838</v>
      </c>
      <c r="C119" t="s">
        <v>839</v>
      </c>
      <c r="D119" s="73" t="s">
        <v>690</v>
      </c>
      <c r="E119" t="s">
        <v>43</v>
      </c>
      <c r="F119" t="s">
        <v>44</v>
      </c>
      <c r="G119" s="73" t="s">
        <v>47</v>
      </c>
      <c r="H119" t="s">
        <v>840</v>
      </c>
      <c r="I119" s="73" t="s">
        <v>113</v>
      </c>
      <c r="J119" s="73" t="s">
        <v>114</v>
      </c>
      <c r="K119">
        <v>45503</v>
      </c>
      <c r="L119" s="73" t="s">
        <v>57</v>
      </c>
      <c r="M119" t="s">
        <v>47</v>
      </c>
      <c r="N119" t="s">
        <v>653</v>
      </c>
    </row>
    <row r="120" spans="1:14" x14ac:dyDescent="0.3">
      <c r="A120">
        <v>119</v>
      </c>
      <c r="B120" s="73" t="s">
        <v>841</v>
      </c>
      <c r="C120" t="s">
        <v>842</v>
      </c>
      <c r="D120" s="73" t="s">
        <v>691</v>
      </c>
      <c r="E120" t="s">
        <v>43</v>
      </c>
      <c r="F120" t="s">
        <v>68</v>
      </c>
      <c r="G120" s="73" t="s">
        <v>47</v>
      </c>
      <c r="H120" t="s">
        <v>68</v>
      </c>
      <c r="I120" s="73" t="s">
        <v>113</v>
      </c>
      <c r="J120" s="73" t="s">
        <v>114</v>
      </c>
      <c r="K120">
        <v>45503</v>
      </c>
      <c r="L120" s="73" t="s">
        <v>57</v>
      </c>
      <c r="M120" t="s">
        <v>47</v>
      </c>
      <c r="N120" t="s">
        <v>653</v>
      </c>
    </row>
    <row r="121" spans="1:14" x14ac:dyDescent="0.3">
      <c r="A121">
        <v>120</v>
      </c>
      <c r="B121" s="73" t="s">
        <v>843</v>
      </c>
      <c r="C121" t="s">
        <v>844</v>
      </c>
      <c r="D121" s="73" t="s">
        <v>692</v>
      </c>
      <c r="E121" t="s">
        <v>43</v>
      </c>
      <c r="F121" t="s">
        <v>68</v>
      </c>
      <c r="G121" s="73" t="s">
        <v>47</v>
      </c>
      <c r="H121" t="s">
        <v>845</v>
      </c>
      <c r="I121" s="73" t="s">
        <v>113</v>
      </c>
      <c r="J121" s="73" t="s">
        <v>114</v>
      </c>
      <c r="K121">
        <v>45503</v>
      </c>
      <c r="L121" s="73" t="s">
        <v>57</v>
      </c>
      <c r="M121" t="s">
        <v>47</v>
      </c>
      <c r="N121" t="s">
        <v>653</v>
      </c>
    </row>
    <row r="122" spans="1:14" x14ac:dyDescent="0.3">
      <c r="A122">
        <v>121</v>
      </c>
      <c r="B122" s="73" t="s">
        <v>846</v>
      </c>
      <c r="C122" t="s">
        <v>847</v>
      </c>
      <c r="D122" s="73" t="s">
        <v>693</v>
      </c>
      <c r="E122" t="s">
        <v>43</v>
      </c>
      <c r="F122" t="s">
        <v>68</v>
      </c>
      <c r="G122" s="73" t="s">
        <v>47</v>
      </c>
      <c r="H122" t="s">
        <v>848</v>
      </c>
      <c r="I122" s="73" t="s">
        <v>113</v>
      </c>
      <c r="J122" s="73" t="s">
        <v>114</v>
      </c>
      <c r="K122">
        <v>45503</v>
      </c>
      <c r="L122" s="73" t="s">
        <v>57</v>
      </c>
      <c r="M122" t="s">
        <v>47</v>
      </c>
      <c r="N122" t="s">
        <v>653</v>
      </c>
    </row>
    <row r="123" spans="1:14" x14ac:dyDescent="0.3">
      <c r="A123">
        <v>122</v>
      </c>
      <c r="B123" s="73" t="s">
        <v>849</v>
      </c>
      <c r="C123" t="s">
        <v>850</v>
      </c>
      <c r="D123" s="73" t="s">
        <v>694</v>
      </c>
      <c r="E123" t="s">
        <v>43</v>
      </c>
      <c r="F123" t="s">
        <v>68</v>
      </c>
      <c r="G123" s="73" t="s">
        <v>47</v>
      </c>
      <c r="H123" t="s">
        <v>851</v>
      </c>
      <c r="I123" s="73" t="s">
        <v>113</v>
      </c>
      <c r="J123" s="73" t="s">
        <v>114</v>
      </c>
      <c r="K123">
        <v>45503</v>
      </c>
      <c r="L123" s="73" t="s">
        <v>57</v>
      </c>
      <c r="M123" t="s">
        <v>47</v>
      </c>
      <c r="N123" t="s">
        <v>653</v>
      </c>
    </row>
    <row r="124" spans="1:14" x14ac:dyDescent="0.3">
      <c r="A124">
        <v>123</v>
      </c>
      <c r="B124" s="73" t="s">
        <v>852</v>
      </c>
      <c r="C124" t="s">
        <v>853</v>
      </c>
      <c r="D124" s="73" t="s">
        <v>695</v>
      </c>
      <c r="E124" t="s">
        <v>43</v>
      </c>
      <c r="F124" t="s">
        <v>68</v>
      </c>
      <c r="G124" s="73" t="s">
        <v>47</v>
      </c>
      <c r="H124" t="s">
        <v>805</v>
      </c>
      <c r="I124" s="73" t="s">
        <v>113</v>
      </c>
      <c r="J124" s="73" t="s">
        <v>114</v>
      </c>
      <c r="K124">
        <v>45503</v>
      </c>
      <c r="L124" s="73" t="s">
        <v>57</v>
      </c>
      <c r="M124" t="s">
        <v>47</v>
      </c>
      <c r="N124" t="s">
        <v>653</v>
      </c>
    </row>
    <row r="125" spans="1:14" x14ac:dyDescent="0.3">
      <c r="A125">
        <v>124</v>
      </c>
      <c r="B125" s="73" t="s">
        <v>854</v>
      </c>
      <c r="C125" t="s">
        <v>855</v>
      </c>
      <c r="D125" s="73" t="s">
        <v>696</v>
      </c>
      <c r="E125" t="s">
        <v>43</v>
      </c>
      <c r="F125" t="s">
        <v>68</v>
      </c>
      <c r="G125" s="73" t="s">
        <v>47</v>
      </c>
      <c r="H125" t="s">
        <v>805</v>
      </c>
      <c r="I125" s="73" t="s">
        <v>113</v>
      </c>
      <c r="J125" s="73" t="s">
        <v>114</v>
      </c>
      <c r="K125">
        <v>45503</v>
      </c>
      <c r="L125" s="73" t="s">
        <v>57</v>
      </c>
      <c r="M125" t="s">
        <v>47</v>
      </c>
      <c r="N125" t="s">
        <v>653</v>
      </c>
    </row>
    <row r="126" spans="1:14" x14ac:dyDescent="0.3">
      <c r="A126">
        <v>125</v>
      </c>
      <c r="B126" s="73" t="s">
        <v>856</v>
      </c>
      <c r="C126" t="s">
        <v>857</v>
      </c>
      <c r="D126" s="73" t="s">
        <v>697</v>
      </c>
      <c r="E126" t="s">
        <v>43</v>
      </c>
      <c r="F126" t="s">
        <v>44</v>
      </c>
      <c r="G126" s="73" t="s">
        <v>47</v>
      </c>
      <c r="H126" t="s">
        <v>858</v>
      </c>
      <c r="I126" s="73" t="s">
        <v>113</v>
      </c>
      <c r="J126" s="73" t="s">
        <v>114</v>
      </c>
      <c r="K126">
        <v>45503</v>
      </c>
      <c r="L126" s="73" t="s">
        <v>57</v>
      </c>
      <c r="M126" t="s">
        <v>47</v>
      </c>
      <c r="N126" t="s">
        <v>653</v>
      </c>
    </row>
    <row r="127" spans="1:14" x14ac:dyDescent="0.3">
      <c r="A127">
        <v>126</v>
      </c>
      <c r="B127" s="73" t="s">
        <v>859</v>
      </c>
      <c r="C127" t="s">
        <v>860</v>
      </c>
      <c r="D127" s="73" t="s">
        <v>698</v>
      </c>
      <c r="E127" t="s">
        <v>43</v>
      </c>
      <c r="F127" t="s">
        <v>68</v>
      </c>
      <c r="G127" s="73" t="s">
        <v>47</v>
      </c>
      <c r="H127" t="s">
        <v>861</v>
      </c>
      <c r="I127" s="73" t="s">
        <v>113</v>
      </c>
      <c r="J127" s="73" t="s">
        <v>114</v>
      </c>
      <c r="K127">
        <v>45503</v>
      </c>
      <c r="L127" s="73" t="s">
        <v>57</v>
      </c>
      <c r="M127" t="s">
        <v>47</v>
      </c>
      <c r="N127" t="s">
        <v>653</v>
      </c>
    </row>
    <row r="128" spans="1:14" x14ac:dyDescent="0.3">
      <c r="A128">
        <v>127</v>
      </c>
      <c r="B128" s="73" t="s">
        <v>862</v>
      </c>
      <c r="C128" t="s">
        <v>863</v>
      </c>
      <c r="D128" s="73" t="s">
        <v>699</v>
      </c>
      <c r="E128" t="s">
        <v>43</v>
      </c>
      <c r="F128" t="s">
        <v>44</v>
      </c>
      <c r="G128" s="73" t="s">
        <v>47</v>
      </c>
      <c r="H128" t="s">
        <v>864</v>
      </c>
      <c r="I128" s="73" t="s">
        <v>113</v>
      </c>
      <c r="J128" s="73" t="s">
        <v>114</v>
      </c>
      <c r="K128">
        <v>45503</v>
      </c>
      <c r="L128" s="73" t="s">
        <v>57</v>
      </c>
      <c r="M128" t="s">
        <v>47</v>
      </c>
      <c r="N128" t="s">
        <v>653</v>
      </c>
    </row>
    <row r="129" spans="1:14" x14ac:dyDescent="0.3">
      <c r="A129">
        <v>128</v>
      </c>
      <c r="B129" s="73" t="s">
        <v>865</v>
      </c>
      <c r="C129" t="s">
        <v>866</v>
      </c>
      <c r="D129" s="73" t="s">
        <v>700</v>
      </c>
      <c r="E129" t="s">
        <v>43</v>
      </c>
      <c r="F129" t="s">
        <v>44</v>
      </c>
      <c r="G129" s="73" t="s">
        <v>47</v>
      </c>
      <c r="H129" t="s">
        <v>867</v>
      </c>
      <c r="I129" s="73" t="s">
        <v>113</v>
      </c>
      <c r="J129" s="73" t="s">
        <v>114</v>
      </c>
      <c r="K129">
        <v>45503</v>
      </c>
      <c r="L129" s="73" t="s">
        <v>57</v>
      </c>
      <c r="M129" t="s">
        <v>47</v>
      </c>
      <c r="N129" t="s">
        <v>653</v>
      </c>
    </row>
    <row r="130" spans="1:14" x14ac:dyDescent="0.3">
      <c r="A130">
        <v>129</v>
      </c>
      <c r="B130" s="73" t="s">
        <v>868</v>
      </c>
      <c r="C130" t="s">
        <v>869</v>
      </c>
      <c r="D130" s="73" t="s">
        <v>701</v>
      </c>
      <c r="E130" t="s">
        <v>43</v>
      </c>
      <c r="F130" t="s">
        <v>44</v>
      </c>
      <c r="G130" s="73" t="s">
        <v>47</v>
      </c>
      <c r="H130" t="s">
        <v>870</v>
      </c>
      <c r="I130" s="73" t="s">
        <v>113</v>
      </c>
      <c r="J130" s="73" t="s">
        <v>114</v>
      </c>
      <c r="K130">
        <v>45503</v>
      </c>
      <c r="L130" s="73" t="s">
        <v>57</v>
      </c>
      <c r="M130" t="s">
        <v>47</v>
      </c>
      <c r="N130" t="s">
        <v>653</v>
      </c>
    </row>
    <row r="131" spans="1:14" x14ac:dyDescent="0.3">
      <c r="A131">
        <v>130</v>
      </c>
      <c r="B131" s="73" t="s">
        <v>871</v>
      </c>
      <c r="C131" t="s">
        <v>872</v>
      </c>
      <c r="D131" s="73" t="s">
        <v>702</v>
      </c>
      <c r="E131" t="s">
        <v>43</v>
      </c>
      <c r="F131" t="s">
        <v>44</v>
      </c>
      <c r="G131" s="73" t="s">
        <v>47</v>
      </c>
      <c r="H131" t="s">
        <v>873</v>
      </c>
      <c r="I131" s="73" t="s">
        <v>113</v>
      </c>
      <c r="J131" s="73" t="s">
        <v>114</v>
      </c>
      <c r="K131">
        <v>45503</v>
      </c>
      <c r="L131" s="73" t="s">
        <v>57</v>
      </c>
      <c r="M131" t="s">
        <v>47</v>
      </c>
      <c r="N131" t="s">
        <v>653</v>
      </c>
    </row>
    <row r="132" spans="1:14" x14ac:dyDescent="0.3">
      <c r="A132">
        <v>131</v>
      </c>
      <c r="B132" s="73" t="s">
        <v>874</v>
      </c>
      <c r="C132" t="s">
        <v>875</v>
      </c>
      <c r="D132" s="73" t="s">
        <v>703</v>
      </c>
      <c r="E132" t="s">
        <v>43</v>
      </c>
      <c r="F132" t="s">
        <v>44</v>
      </c>
      <c r="G132" s="73" t="s">
        <v>47</v>
      </c>
      <c r="H132" t="s">
        <v>876</v>
      </c>
      <c r="I132" s="73" t="s">
        <v>113</v>
      </c>
      <c r="J132" s="73" t="s">
        <v>114</v>
      </c>
      <c r="K132">
        <v>45503</v>
      </c>
      <c r="L132" s="73" t="s">
        <v>57</v>
      </c>
      <c r="M132" t="s">
        <v>47</v>
      </c>
      <c r="N132" t="s">
        <v>653</v>
      </c>
    </row>
    <row r="133" spans="1:14" x14ac:dyDescent="0.3">
      <c r="A133">
        <v>132</v>
      </c>
      <c r="B133" s="73" t="s">
        <v>877</v>
      </c>
      <c r="C133" t="s">
        <v>878</v>
      </c>
      <c r="D133" s="73" t="s">
        <v>704</v>
      </c>
      <c r="E133" t="s">
        <v>43</v>
      </c>
      <c r="F133" t="s">
        <v>44</v>
      </c>
      <c r="G133" s="73" t="s">
        <v>47</v>
      </c>
      <c r="H133" t="s">
        <v>879</v>
      </c>
      <c r="I133" s="73" t="s">
        <v>113</v>
      </c>
      <c r="J133" s="73" t="s">
        <v>114</v>
      </c>
      <c r="K133">
        <v>45503</v>
      </c>
      <c r="L133" s="73" t="s">
        <v>57</v>
      </c>
      <c r="M133" t="s">
        <v>47</v>
      </c>
      <c r="N133" t="s">
        <v>653</v>
      </c>
    </row>
    <row r="134" spans="1:14" x14ac:dyDescent="0.3">
      <c r="A134">
        <v>133</v>
      </c>
      <c r="B134" s="73" t="s">
        <v>880</v>
      </c>
      <c r="C134" t="s">
        <v>880</v>
      </c>
      <c r="D134" s="73" t="s">
        <v>705</v>
      </c>
      <c r="E134" t="s">
        <v>43</v>
      </c>
      <c r="F134" t="s">
        <v>44</v>
      </c>
      <c r="G134" s="73" t="s">
        <v>47</v>
      </c>
      <c r="H134" t="s">
        <v>881</v>
      </c>
      <c r="I134" s="73" t="s">
        <v>113</v>
      </c>
      <c r="J134" s="73" t="s">
        <v>114</v>
      </c>
      <c r="K134">
        <v>45503</v>
      </c>
      <c r="L134" s="73" t="s">
        <v>57</v>
      </c>
      <c r="M134" t="s">
        <v>47</v>
      </c>
      <c r="N134" t="s">
        <v>653</v>
      </c>
    </row>
    <row r="135" spans="1:14" x14ac:dyDescent="0.3">
      <c r="A135">
        <v>134</v>
      </c>
      <c r="B135" s="73" t="s">
        <v>882</v>
      </c>
      <c r="C135" t="s">
        <v>883</v>
      </c>
      <c r="D135" s="73" t="s">
        <v>706</v>
      </c>
      <c r="E135" t="s">
        <v>43</v>
      </c>
      <c r="F135" t="s">
        <v>44</v>
      </c>
      <c r="G135" s="73" t="s">
        <v>47</v>
      </c>
      <c r="H135" t="s">
        <v>884</v>
      </c>
      <c r="I135" s="73" t="s">
        <v>113</v>
      </c>
      <c r="J135" s="73" t="s">
        <v>114</v>
      </c>
      <c r="K135">
        <v>45503</v>
      </c>
      <c r="L135" s="73" t="s">
        <v>57</v>
      </c>
      <c r="M135" t="s">
        <v>47</v>
      </c>
      <c r="N135" t="s">
        <v>653</v>
      </c>
    </row>
    <row r="136" spans="1:14" x14ac:dyDescent="0.3">
      <c r="A136">
        <v>135</v>
      </c>
      <c r="B136" s="73" t="s">
        <v>885</v>
      </c>
      <c r="C136" t="s">
        <v>886</v>
      </c>
      <c r="D136" s="73" t="s">
        <v>707</v>
      </c>
      <c r="E136" t="s">
        <v>43</v>
      </c>
      <c r="F136" t="s">
        <v>68</v>
      </c>
      <c r="G136" s="73" t="s">
        <v>47</v>
      </c>
      <c r="H136" t="s">
        <v>887</v>
      </c>
      <c r="I136" s="73" t="s">
        <v>113</v>
      </c>
      <c r="J136" s="73" t="s">
        <v>114</v>
      </c>
      <c r="K136">
        <v>45503</v>
      </c>
      <c r="L136" s="73" t="s">
        <v>57</v>
      </c>
      <c r="M136" t="s">
        <v>47</v>
      </c>
      <c r="N136" t="s">
        <v>653</v>
      </c>
    </row>
    <row r="137" spans="1:14" x14ac:dyDescent="0.3">
      <c r="A137">
        <v>136</v>
      </c>
      <c r="B137" s="73" t="s">
        <v>888</v>
      </c>
      <c r="C137" t="s">
        <v>650</v>
      </c>
      <c r="D137" s="73" t="s">
        <v>708</v>
      </c>
      <c r="E137" t="s">
        <v>43</v>
      </c>
      <c r="F137" t="s">
        <v>68</v>
      </c>
      <c r="G137" s="73" t="s">
        <v>47</v>
      </c>
      <c r="H137" t="s">
        <v>889</v>
      </c>
      <c r="I137" s="73" t="s">
        <v>113</v>
      </c>
      <c r="J137" s="73" t="s">
        <v>114</v>
      </c>
      <c r="K137">
        <v>45503</v>
      </c>
      <c r="L137" s="73" t="s">
        <v>57</v>
      </c>
      <c r="M137" t="s">
        <v>47</v>
      </c>
      <c r="N137" t="s">
        <v>653</v>
      </c>
    </row>
    <row r="138" spans="1:14" x14ac:dyDescent="0.3">
      <c r="A138">
        <v>137</v>
      </c>
      <c r="B138" s="73" t="s">
        <v>890</v>
      </c>
      <c r="C138" t="s">
        <v>891</v>
      </c>
      <c r="D138" s="73" t="s">
        <v>709</v>
      </c>
      <c r="E138" t="s">
        <v>43</v>
      </c>
      <c r="F138" t="s">
        <v>68</v>
      </c>
      <c r="G138" s="73" t="s">
        <v>47</v>
      </c>
      <c r="H138" t="s">
        <v>892</v>
      </c>
      <c r="I138" s="73" t="s">
        <v>113</v>
      </c>
      <c r="J138" s="73" t="s">
        <v>114</v>
      </c>
      <c r="K138">
        <v>45503</v>
      </c>
      <c r="L138" s="73" t="s">
        <v>57</v>
      </c>
      <c r="M138" t="s">
        <v>47</v>
      </c>
      <c r="N138" t="s">
        <v>653</v>
      </c>
    </row>
    <row r="139" spans="1:14" x14ac:dyDescent="0.3">
      <c r="A139">
        <v>138</v>
      </c>
      <c r="B139" s="73" t="s">
        <v>893</v>
      </c>
      <c r="C139" t="s">
        <v>894</v>
      </c>
      <c r="D139" s="73" t="s">
        <v>710</v>
      </c>
      <c r="E139" t="s">
        <v>43</v>
      </c>
      <c r="F139" t="s">
        <v>68</v>
      </c>
      <c r="G139" s="73" t="s">
        <v>47</v>
      </c>
      <c r="H139" t="s">
        <v>895</v>
      </c>
      <c r="I139" s="73" t="s">
        <v>113</v>
      </c>
      <c r="J139" s="73" t="s">
        <v>114</v>
      </c>
      <c r="K139">
        <v>45503</v>
      </c>
      <c r="L139" s="73" t="s">
        <v>57</v>
      </c>
      <c r="M139" t="s">
        <v>47</v>
      </c>
      <c r="N139" t="s">
        <v>653</v>
      </c>
    </row>
    <row r="140" spans="1:14" x14ac:dyDescent="0.3">
      <c r="A140">
        <v>139</v>
      </c>
      <c r="B140" s="73" t="s">
        <v>896</v>
      </c>
      <c r="C140" t="s">
        <v>810</v>
      </c>
      <c r="D140" s="73" t="s">
        <v>711</v>
      </c>
      <c r="E140" t="s">
        <v>43</v>
      </c>
      <c r="F140" t="s">
        <v>44</v>
      </c>
      <c r="G140" s="73" t="s">
        <v>47</v>
      </c>
      <c r="H140" t="s">
        <v>811</v>
      </c>
      <c r="I140" s="73" t="s">
        <v>113</v>
      </c>
      <c r="J140" s="73" t="s">
        <v>114</v>
      </c>
      <c r="K140">
        <v>45503</v>
      </c>
      <c r="L140" s="73" t="s">
        <v>57</v>
      </c>
      <c r="M140" t="s">
        <v>47</v>
      </c>
      <c r="N140" t="s">
        <v>653</v>
      </c>
    </row>
    <row r="141" spans="1:14" x14ac:dyDescent="0.3">
      <c r="A141">
        <v>140</v>
      </c>
      <c r="B141" s="73" t="s">
        <v>897</v>
      </c>
      <c r="C141" t="s">
        <v>813</v>
      </c>
      <c r="D141" s="73" t="s">
        <v>712</v>
      </c>
      <c r="E141" t="s">
        <v>54</v>
      </c>
      <c r="F141" t="s">
        <v>44</v>
      </c>
      <c r="G141" s="73" t="s">
        <v>47</v>
      </c>
      <c r="H141" t="s">
        <v>898</v>
      </c>
      <c r="I141" s="73" t="s">
        <v>113</v>
      </c>
      <c r="J141" s="73" t="s">
        <v>114</v>
      </c>
      <c r="K141">
        <v>45503</v>
      </c>
      <c r="L141" s="73" t="s">
        <v>57</v>
      </c>
      <c r="M141" t="s">
        <v>47</v>
      </c>
      <c r="N141" t="s">
        <v>653</v>
      </c>
    </row>
    <row r="142" spans="1:14" x14ac:dyDescent="0.3">
      <c r="A142">
        <v>141</v>
      </c>
      <c r="B142" s="73" t="s">
        <v>899</v>
      </c>
      <c r="C142" t="s">
        <v>900</v>
      </c>
      <c r="D142" s="73" t="s">
        <v>713</v>
      </c>
      <c r="E142" t="s">
        <v>43</v>
      </c>
      <c r="F142" t="s">
        <v>68</v>
      </c>
      <c r="G142" s="73" t="s">
        <v>47</v>
      </c>
      <c r="H142" t="s">
        <v>901</v>
      </c>
      <c r="I142" s="73" t="s">
        <v>113</v>
      </c>
      <c r="J142" s="73" t="s">
        <v>114</v>
      </c>
      <c r="K142">
        <v>45503</v>
      </c>
      <c r="L142" s="73" t="s">
        <v>57</v>
      </c>
      <c r="M142" t="s">
        <v>47</v>
      </c>
      <c r="N142" t="s">
        <v>653</v>
      </c>
    </row>
    <row r="143" spans="1:14" x14ac:dyDescent="0.3">
      <c r="A143">
        <v>142</v>
      </c>
      <c r="B143" s="73" t="s">
        <v>902</v>
      </c>
      <c r="C143" t="s">
        <v>903</v>
      </c>
      <c r="D143" s="73" t="s">
        <v>714</v>
      </c>
      <c r="E143" t="s">
        <v>43</v>
      </c>
      <c r="F143" t="s">
        <v>68</v>
      </c>
      <c r="G143" s="73" t="s">
        <v>47</v>
      </c>
      <c r="H143" t="s">
        <v>805</v>
      </c>
      <c r="I143" s="73" t="s">
        <v>113</v>
      </c>
      <c r="J143" s="73" t="s">
        <v>114</v>
      </c>
      <c r="K143">
        <v>45503</v>
      </c>
      <c r="L143" s="73" t="s">
        <v>57</v>
      </c>
      <c r="M143" t="s">
        <v>47</v>
      </c>
      <c r="N143" t="s">
        <v>653</v>
      </c>
    </row>
    <row r="144" spans="1:14" x14ac:dyDescent="0.3">
      <c r="A144">
        <v>143</v>
      </c>
      <c r="B144" s="73" t="s">
        <v>904</v>
      </c>
      <c r="C144" t="s">
        <v>650</v>
      </c>
      <c r="D144" s="73" t="s">
        <v>715</v>
      </c>
      <c r="E144" t="s">
        <v>43</v>
      </c>
      <c r="F144" t="s">
        <v>68</v>
      </c>
      <c r="G144" s="73" t="s">
        <v>47</v>
      </c>
      <c r="H144" t="s">
        <v>805</v>
      </c>
      <c r="I144" s="73" t="s">
        <v>113</v>
      </c>
      <c r="J144" s="73" t="s">
        <v>114</v>
      </c>
      <c r="K144">
        <v>45503</v>
      </c>
      <c r="L144" s="73" t="s">
        <v>57</v>
      </c>
      <c r="M144" t="s">
        <v>47</v>
      </c>
      <c r="N144" t="s">
        <v>653</v>
      </c>
    </row>
    <row r="145" spans="1:14" x14ac:dyDescent="0.3">
      <c r="A145">
        <v>144</v>
      </c>
      <c r="B145" s="73" t="s">
        <v>905</v>
      </c>
      <c r="C145" t="s">
        <v>860</v>
      </c>
      <c r="D145" s="73" t="s">
        <v>716</v>
      </c>
      <c r="E145" t="s">
        <v>43</v>
      </c>
      <c r="F145" t="s">
        <v>68</v>
      </c>
      <c r="G145" s="73" t="s">
        <v>47</v>
      </c>
      <c r="H145" t="s">
        <v>906</v>
      </c>
      <c r="I145" s="73" t="s">
        <v>113</v>
      </c>
      <c r="J145" s="73" t="s">
        <v>114</v>
      </c>
      <c r="K145">
        <v>45503</v>
      </c>
      <c r="L145" s="73" t="s">
        <v>57</v>
      </c>
      <c r="M145" t="s">
        <v>47</v>
      </c>
      <c r="N145" t="s">
        <v>653</v>
      </c>
    </row>
    <row r="146" spans="1:14" x14ac:dyDescent="0.3">
      <c r="A146">
        <v>145</v>
      </c>
      <c r="B146" s="73" t="s">
        <v>820</v>
      </c>
      <c r="C146" t="s">
        <v>821</v>
      </c>
      <c r="D146" s="73" t="s">
        <v>717</v>
      </c>
      <c r="E146" t="s">
        <v>43</v>
      </c>
      <c r="F146" t="s">
        <v>44</v>
      </c>
      <c r="G146" s="73" t="s">
        <v>47</v>
      </c>
      <c r="H146" t="s">
        <v>907</v>
      </c>
      <c r="I146" s="73" t="s">
        <v>113</v>
      </c>
      <c r="J146" s="73" t="s">
        <v>114</v>
      </c>
      <c r="K146">
        <v>45503</v>
      </c>
      <c r="L146" s="73" t="s">
        <v>57</v>
      </c>
      <c r="M146" t="s">
        <v>47</v>
      </c>
      <c r="N146" t="s">
        <v>653</v>
      </c>
    </row>
    <row r="147" spans="1:14" x14ac:dyDescent="0.3">
      <c r="A147">
        <v>146</v>
      </c>
      <c r="B147" s="73" t="s">
        <v>908</v>
      </c>
      <c r="C147" t="s">
        <v>880</v>
      </c>
      <c r="D147" s="73" t="s">
        <v>718</v>
      </c>
      <c r="E147" t="s">
        <v>43</v>
      </c>
      <c r="F147" t="s">
        <v>44</v>
      </c>
      <c r="G147" s="73" t="s">
        <v>47</v>
      </c>
      <c r="H147" t="s">
        <v>909</v>
      </c>
      <c r="I147" s="73" t="s">
        <v>113</v>
      </c>
      <c r="J147" s="73" t="s">
        <v>114</v>
      </c>
      <c r="K147">
        <v>45503</v>
      </c>
      <c r="L147" s="73" t="s">
        <v>57</v>
      </c>
      <c r="M147" t="s">
        <v>47</v>
      </c>
      <c r="N147" t="s">
        <v>653</v>
      </c>
    </row>
    <row r="148" spans="1:14" x14ac:dyDescent="0.3">
      <c r="A148">
        <v>147</v>
      </c>
      <c r="B148" s="73" t="s">
        <v>910</v>
      </c>
      <c r="C148" t="s">
        <v>911</v>
      </c>
      <c r="D148" s="73" t="s">
        <v>719</v>
      </c>
      <c r="E148" t="s">
        <v>43</v>
      </c>
      <c r="F148" t="s">
        <v>68</v>
      </c>
      <c r="G148" s="73" t="s">
        <v>47</v>
      </c>
      <c r="H148" t="s">
        <v>805</v>
      </c>
      <c r="I148" s="73" t="s">
        <v>113</v>
      </c>
      <c r="J148" s="73" t="s">
        <v>114</v>
      </c>
      <c r="K148">
        <v>45503</v>
      </c>
      <c r="L148" s="73" t="s">
        <v>57</v>
      </c>
      <c r="M148" t="s">
        <v>47</v>
      </c>
      <c r="N148" t="s">
        <v>653</v>
      </c>
    </row>
    <row r="149" spans="1:14" x14ac:dyDescent="0.3">
      <c r="A149">
        <v>148</v>
      </c>
      <c r="B149" s="73" t="s">
        <v>912</v>
      </c>
      <c r="C149" t="s">
        <v>913</v>
      </c>
      <c r="D149" s="73" t="s">
        <v>665</v>
      </c>
      <c r="E149" t="s">
        <v>43</v>
      </c>
      <c r="F149" t="s">
        <v>44</v>
      </c>
      <c r="G149" s="73" t="s">
        <v>47</v>
      </c>
      <c r="H149" t="s">
        <v>914</v>
      </c>
      <c r="I149" s="73" t="s">
        <v>113</v>
      </c>
      <c r="J149" s="73" t="s">
        <v>114</v>
      </c>
      <c r="K149">
        <v>45503</v>
      </c>
      <c r="L149" s="73" t="s">
        <v>57</v>
      </c>
      <c r="M149" t="s">
        <v>47</v>
      </c>
      <c r="N149" t="s">
        <v>653</v>
      </c>
    </row>
    <row r="150" spans="1:14" x14ac:dyDescent="0.3">
      <c r="A150">
        <v>149</v>
      </c>
      <c r="B150" s="73" t="s">
        <v>915</v>
      </c>
      <c r="C150" t="s">
        <v>916</v>
      </c>
      <c r="D150" s="73" t="s">
        <v>720</v>
      </c>
      <c r="E150" t="s">
        <v>43</v>
      </c>
      <c r="F150" t="s">
        <v>68</v>
      </c>
      <c r="G150" s="73" t="s">
        <v>47</v>
      </c>
      <c r="H150" t="s">
        <v>805</v>
      </c>
      <c r="I150" s="73" t="s">
        <v>113</v>
      </c>
      <c r="J150" s="73" t="s">
        <v>114</v>
      </c>
      <c r="K150">
        <v>45503</v>
      </c>
      <c r="L150" s="73" t="s">
        <v>57</v>
      </c>
      <c r="M150" t="s">
        <v>47</v>
      </c>
      <c r="N150" t="s">
        <v>653</v>
      </c>
    </row>
    <row r="151" spans="1:14" x14ac:dyDescent="0.3">
      <c r="A151">
        <v>150</v>
      </c>
      <c r="B151" s="73" t="s">
        <v>917</v>
      </c>
      <c r="C151" t="s">
        <v>918</v>
      </c>
      <c r="D151" s="73" t="s">
        <v>721</v>
      </c>
      <c r="E151" t="s">
        <v>43</v>
      </c>
      <c r="F151" t="s">
        <v>68</v>
      </c>
      <c r="G151" s="73" t="s">
        <v>47</v>
      </c>
      <c r="H151" t="s">
        <v>805</v>
      </c>
      <c r="I151" s="73" t="s">
        <v>113</v>
      </c>
      <c r="J151" s="73" t="s">
        <v>114</v>
      </c>
      <c r="K151">
        <v>45503</v>
      </c>
      <c r="L151" s="73" t="s">
        <v>57</v>
      </c>
      <c r="M151" t="s">
        <v>47</v>
      </c>
      <c r="N151" t="s">
        <v>653</v>
      </c>
    </row>
    <row r="152" spans="1:14" x14ac:dyDescent="0.3">
      <c r="A152">
        <v>151</v>
      </c>
      <c r="B152" s="73" t="s">
        <v>919</v>
      </c>
      <c r="C152" t="s">
        <v>920</v>
      </c>
      <c r="D152" s="73" t="s">
        <v>722</v>
      </c>
      <c r="E152" t="s">
        <v>43</v>
      </c>
      <c r="F152" t="s">
        <v>44</v>
      </c>
      <c r="G152" s="73" t="s">
        <v>47</v>
      </c>
      <c r="H152" t="s">
        <v>819</v>
      </c>
      <c r="I152" s="73" t="s">
        <v>113</v>
      </c>
      <c r="J152" s="73" t="s">
        <v>114</v>
      </c>
      <c r="K152">
        <v>45503</v>
      </c>
      <c r="L152" s="73" t="s">
        <v>57</v>
      </c>
      <c r="M152" t="s">
        <v>47</v>
      </c>
      <c r="N152" t="s">
        <v>653</v>
      </c>
    </row>
    <row r="153" spans="1:14" x14ac:dyDescent="0.3">
      <c r="A153">
        <v>152</v>
      </c>
      <c r="B153" s="73" t="s">
        <v>723</v>
      </c>
      <c r="C153" t="s">
        <v>650</v>
      </c>
      <c r="D153" s="73" t="s">
        <v>723</v>
      </c>
      <c r="E153" t="s">
        <v>43</v>
      </c>
      <c r="F153" t="s">
        <v>68</v>
      </c>
      <c r="G153" s="73" t="s">
        <v>47</v>
      </c>
      <c r="H153" t="s">
        <v>819</v>
      </c>
      <c r="I153" s="73" t="s">
        <v>113</v>
      </c>
      <c r="J153" s="73" t="s">
        <v>114</v>
      </c>
      <c r="K153">
        <v>45503</v>
      </c>
      <c r="L153" s="73" t="s">
        <v>57</v>
      </c>
      <c r="M153" t="s">
        <v>47</v>
      </c>
      <c r="N153" t="s">
        <v>653</v>
      </c>
    </row>
    <row r="154" spans="1:14" x14ac:dyDescent="0.3">
      <c r="A154">
        <v>153</v>
      </c>
      <c r="B154" s="73" t="s">
        <v>724</v>
      </c>
      <c r="C154" t="s">
        <v>650</v>
      </c>
      <c r="D154" s="73" t="s">
        <v>724</v>
      </c>
      <c r="E154" t="s">
        <v>43</v>
      </c>
      <c r="F154" t="s">
        <v>68</v>
      </c>
      <c r="G154" s="73" t="s">
        <v>47</v>
      </c>
      <c r="H154" t="s">
        <v>819</v>
      </c>
      <c r="I154" s="73" t="s">
        <v>113</v>
      </c>
      <c r="J154" s="73" t="s">
        <v>114</v>
      </c>
      <c r="K154">
        <v>45503</v>
      </c>
      <c r="L154" s="73" t="s">
        <v>57</v>
      </c>
      <c r="M154" t="s">
        <v>47</v>
      </c>
      <c r="N154" t="s">
        <v>653</v>
      </c>
    </row>
    <row r="155" spans="1:14" x14ac:dyDescent="0.3">
      <c r="A155">
        <v>154</v>
      </c>
      <c r="B155" s="73" t="s">
        <v>725</v>
      </c>
      <c r="C155" t="s">
        <v>650</v>
      </c>
      <c r="D155" s="73" t="s">
        <v>725</v>
      </c>
      <c r="E155" t="s">
        <v>43</v>
      </c>
      <c r="F155" t="s">
        <v>68</v>
      </c>
      <c r="G155" s="73" t="s">
        <v>47</v>
      </c>
      <c r="H155" t="s">
        <v>819</v>
      </c>
      <c r="I155" s="73" t="s">
        <v>113</v>
      </c>
      <c r="J155" s="73" t="s">
        <v>114</v>
      </c>
      <c r="K155">
        <v>45503</v>
      </c>
      <c r="L155" s="73" t="s">
        <v>57</v>
      </c>
      <c r="M155" t="s">
        <v>47</v>
      </c>
      <c r="N155" t="s">
        <v>653</v>
      </c>
    </row>
  </sheetData>
  <phoneticPr fontId="20"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B0F216-2109-403C-B6DB-DEE40A612241}">
  <dimension ref="A1:D55"/>
  <sheetViews>
    <sheetView workbookViewId="0">
      <pane ySplit="1" topLeftCell="A2" activePane="bottomLeft" state="frozen"/>
      <selection pane="bottomLeft" activeCell="D51" sqref="D51"/>
    </sheetView>
  </sheetViews>
  <sheetFormatPr defaultColWidth="8.58203125" defaultRowHeight="14" x14ac:dyDescent="0.3"/>
  <cols>
    <col min="1" max="1" width="17.5" style="16" customWidth="1"/>
    <col min="2" max="2" width="23.75" style="24" customWidth="1"/>
    <col min="3" max="3" width="31.08203125" style="16" bestFit="1" customWidth="1"/>
    <col min="4" max="4" width="40.33203125" style="16" bestFit="1" customWidth="1"/>
    <col min="5" max="16384" width="8.58203125" style="16"/>
  </cols>
  <sheetData>
    <row r="1" spans="1:4" x14ac:dyDescent="0.3">
      <c r="A1" s="15" t="s">
        <v>198</v>
      </c>
      <c r="B1" s="15" t="s">
        <v>199</v>
      </c>
      <c r="C1" s="15" t="s">
        <v>200</v>
      </c>
      <c r="D1" s="15" t="s">
        <v>201</v>
      </c>
    </row>
    <row r="2" spans="1:4" x14ac:dyDescent="0.3">
      <c r="A2" s="16" t="s">
        <v>202</v>
      </c>
      <c r="B2" s="17" t="s">
        <v>203</v>
      </c>
      <c r="C2" s="16" t="s">
        <v>27</v>
      </c>
      <c r="D2" s="16" t="s">
        <v>204</v>
      </c>
    </row>
    <row r="3" spans="1:4" x14ac:dyDescent="0.3">
      <c r="A3" s="16" t="s">
        <v>202</v>
      </c>
      <c r="B3" s="17" t="s">
        <v>203</v>
      </c>
      <c r="C3" s="16" t="s">
        <v>26</v>
      </c>
      <c r="D3" s="16" t="s">
        <v>204</v>
      </c>
    </row>
    <row r="4" spans="1:4" x14ac:dyDescent="0.3">
      <c r="A4" s="16" t="s">
        <v>202</v>
      </c>
      <c r="B4" s="17" t="s">
        <v>203</v>
      </c>
      <c r="C4" s="16" t="s">
        <v>28</v>
      </c>
      <c r="D4" s="16" t="s">
        <v>204</v>
      </c>
    </row>
    <row r="5" spans="1:4" x14ac:dyDescent="0.3">
      <c r="A5" s="16" t="s">
        <v>202</v>
      </c>
      <c r="B5" s="17" t="s">
        <v>203</v>
      </c>
      <c r="C5" s="16" t="s">
        <v>32</v>
      </c>
      <c r="D5" s="16" t="s">
        <v>204</v>
      </c>
    </row>
    <row r="6" spans="1:4" x14ac:dyDescent="0.3">
      <c r="A6" s="16" t="s">
        <v>202</v>
      </c>
      <c r="B6" s="17" t="s">
        <v>203</v>
      </c>
      <c r="C6" s="16" t="s">
        <v>34</v>
      </c>
      <c r="D6" s="16" t="s">
        <v>204</v>
      </c>
    </row>
    <row r="7" spans="1:4" x14ac:dyDescent="0.3">
      <c r="A7" s="16" t="s">
        <v>202</v>
      </c>
      <c r="B7" s="17" t="s">
        <v>203</v>
      </c>
      <c r="C7" s="16" t="s">
        <v>205</v>
      </c>
      <c r="D7" s="16" t="s">
        <v>204</v>
      </c>
    </row>
    <row r="8" spans="1:4" x14ac:dyDescent="0.3">
      <c r="A8" s="16" t="s">
        <v>202</v>
      </c>
      <c r="B8" s="17" t="s">
        <v>203</v>
      </c>
      <c r="C8" s="16" t="s">
        <v>25</v>
      </c>
      <c r="D8" s="16" t="s">
        <v>204</v>
      </c>
    </row>
    <row r="9" spans="1:4" x14ac:dyDescent="0.3">
      <c r="A9" s="16" t="s">
        <v>202</v>
      </c>
      <c r="B9" s="17" t="s">
        <v>203</v>
      </c>
      <c r="C9" s="16" t="s">
        <v>206</v>
      </c>
      <c r="D9" s="16" t="s">
        <v>204</v>
      </c>
    </row>
    <row r="10" spans="1:4" x14ac:dyDescent="0.3">
      <c r="A10" s="16" t="s">
        <v>202</v>
      </c>
      <c r="B10" s="17" t="s">
        <v>203</v>
      </c>
      <c r="C10" s="16" t="s">
        <v>31</v>
      </c>
      <c r="D10" s="16" t="s">
        <v>204</v>
      </c>
    </row>
    <row r="11" spans="1:4" x14ac:dyDescent="0.3">
      <c r="A11" s="16" t="s">
        <v>202</v>
      </c>
      <c r="B11" s="17" t="s">
        <v>203</v>
      </c>
      <c r="C11" s="16" t="s">
        <v>36</v>
      </c>
      <c r="D11" s="16" t="s">
        <v>204</v>
      </c>
    </row>
    <row r="12" spans="1:4" x14ac:dyDescent="0.3">
      <c r="A12" s="16" t="s">
        <v>202</v>
      </c>
      <c r="B12" s="17" t="s">
        <v>203</v>
      </c>
      <c r="C12" s="16" t="s">
        <v>99</v>
      </c>
      <c r="D12" s="16" t="s">
        <v>204</v>
      </c>
    </row>
    <row r="13" spans="1:4" x14ac:dyDescent="0.3">
      <c r="A13" s="16" t="s">
        <v>202</v>
      </c>
      <c r="B13" s="17" t="s">
        <v>207</v>
      </c>
      <c r="C13" s="16" t="s">
        <v>208</v>
      </c>
      <c r="D13" s="16" t="s">
        <v>209</v>
      </c>
    </row>
    <row r="14" spans="1:4" x14ac:dyDescent="0.3">
      <c r="A14" s="16" t="s">
        <v>202</v>
      </c>
      <c r="B14" s="17" t="s">
        <v>210</v>
      </c>
      <c r="C14" s="16" t="s">
        <v>27</v>
      </c>
      <c r="D14" s="16" t="s">
        <v>211</v>
      </c>
    </row>
    <row r="15" spans="1:4" x14ac:dyDescent="0.3">
      <c r="A15" s="16" t="s">
        <v>202</v>
      </c>
      <c r="B15" s="17" t="s">
        <v>212</v>
      </c>
      <c r="C15" s="16" t="s">
        <v>27</v>
      </c>
      <c r="D15" s="16" t="s">
        <v>213</v>
      </c>
    </row>
    <row r="16" spans="1:4" x14ac:dyDescent="0.3">
      <c r="A16" s="16" t="s">
        <v>202</v>
      </c>
      <c r="B16" s="17" t="s">
        <v>212</v>
      </c>
      <c r="C16" s="16" t="s">
        <v>26</v>
      </c>
      <c r="D16" s="16" t="s">
        <v>214</v>
      </c>
    </row>
    <row r="17" spans="1:4" x14ac:dyDescent="0.3">
      <c r="A17" s="16" t="s">
        <v>202</v>
      </c>
      <c r="B17" s="17" t="s">
        <v>212</v>
      </c>
      <c r="C17" s="16" t="s">
        <v>25</v>
      </c>
      <c r="D17" s="16" t="s">
        <v>214</v>
      </c>
    </row>
    <row r="18" spans="1:4" x14ac:dyDescent="0.3">
      <c r="A18" s="16" t="s">
        <v>202</v>
      </c>
      <c r="B18" s="17" t="s">
        <v>212</v>
      </c>
      <c r="C18" s="16" t="s">
        <v>206</v>
      </c>
      <c r="D18" s="16" t="s">
        <v>215</v>
      </c>
    </row>
    <row r="19" spans="1:4" x14ac:dyDescent="0.3">
      <c r="A19" s="16" t="s">
        <v>202</v>
      </c>
      <c r="B19" s="17" t="s">
        <v>212</v>
      </c>
      <c r="C19" s="16" t="s">
        <v>36</v>
      </c>
      <c r="D19" s="16" t="s">
        <v>216</v>
      </c>
    </row>
    <row r="20" spans="1:4" x14ac:dyDescent="0.3">
      <c r="A20" s="16" t="s">
        <v>202</v>
      </c>
      <c r="B20" s="17" t="s">
        <v>217</v>
      </c>
      <c r="C20" s="16" t="s">
        <v>28</v>
      </c>
      <c r="D20" s="16" t="s">
        <v>218</v>
      </c>
    </row>
    <row r="21" spans="1:4" x14ac:dyDescent="0.3">
      <c r="A21" s="16" t="s">
        <v>202</v>
      </c>
      <c r="B21" s="17" t="s">
        <v>217</v>
      </c>
      <c r="C21" s="16" t="s">
        <v>205</v>
      </c>
      <c r="D21" s="18" t="s">
        <v>219</v>
      </c>
    </row>
    <row r="22" spans="1:4" ht="154" x14ac:dyDescent="0.3">
      <c r="A22" s="16" t="s">
        <v>202</v>
      </c>
      <c r="B22" s="17" t="s">
        <v>217</v>
      </c>
      <c r="C22" s="16" t="s">
        <v>31</v>
      </c>
      <c r="D22" s="19" t="s">
        <v>220</v>
      </c>
    </row>
    <row r="23" spans="1:4" x14ac:dyDescent="0.3">
      <c r="A23" s="16" t="s">
        <v>202</v>
      </c>
      <c r="B23" s="20" t="s">
        <v>217</v>
      </c>
      <c r="C23" s="16" t="s">
        <v>34</v>
      </c>
      <c r="D23" s="16" t="s">
        <v>221</v>
      </c>
    </row>
    <row r="24" spans="1:4" x14ac:dyDescent="0.3">
      <c r="A24" s="16" t="s">
        <v>222</v>
      </c>
      <c r="B24" s="17" t="s">
        <v>203</v>
      </c>
      <c r="C24" s="16" t="s">
        <v>26</v>
      </c>
      <c r="D24" s="16" t="s">
        <v>204</v>
      </c>
    </row>
    <row r="25" spans="1:4" x14ac:dyDescent="0.3">
      <c r="A25" s="16" t="s">
        <v>222</v>
      </c>
      <c r="B25" s="17" t="s">
        <v>203</v>
      </c>
      <c r="C25" s="16" t="s">
        <v>97</v>
      </c>
      <c r="D25" s="16" t="s">
        <v>204</v>
      </c>
    </row>
    <row r="26" spans="1:4" x14ac:dyDescent="0.3">
      <c r="A26" s="16" t="s">
        <v>222</v>
      </c>
      <c r="B26" s="17" t="s">
        <v>203</v>
      </c>
      <c r="C26" s="16" t="s">
        <v>223</v>
      </c>
      <c r="D26" s="16" t="s">
        <v>204</v>
      </c>
    </row>
    <row r="27" spans="1:4" x14ac:dyDescent="0.3">
      <c r="A27" s="16" t="s">
        <v>222</v>
      </c>
      <c r="B27" s="17" t="s">
        <v>203</v>
      </c>
      <c r="C27" s="16" t="s">
        <v>99</v>
      </c>
      <c r="D27" s="16" t="s">
        <v>204</v>
      </c>
    </row>
    <row r="28" spans="1:4" x14ac:dyDescent="0.3">
      <c r="A28" s="16" t="s">
        <v>222</v>
      </c>
      <c r="B28" s="17" t="s">
        <v>203</v>
      </c>
      <c r="C28" s="16" t="s">
        <v>36</v>
      </c>
      <c r="D28" s="16" t="s">
        <v>204</v>
      </c>
    </row>
    <row r="29" spans="1:4" x14ac:dyDescent="0.3">
      <c r="A29" s="16" t="s">
        <v>222</v>
      </c>
      <c r="B29" s="17" t="s">
        <v>212</v>
      </c>
      <c r="C29" s="16" t="s">
        <v>26</v>
      </c>
      <c r="D29" s="16" t="s">
        <v>224</v>
      </c>
    </row>
    <row r="30" spans="1:4" x14ac:dyDescent="0.3">
      <c r="A30" s="16" t="s">
        <v>222</v>
      </c>
      <c r="B30" s="17" t="s">
        <v>212</v>
      </c>
      <c r="C30" s="16" t="s">
        <v>97</v>
      </c>
      <c r="D30" s="16" t="s">
        <v>225</v>
      </c>
    </row>
    <row r="31" spans="1:4" x14ac:dyDescent="0.3">
      <c r="A31" s="16" t="s">
        <v>222</v>
      </c>
      <c r="B31" s="17" t="s">
        <v>212</v>
      </c>
      <c r="C31" s="16" t="s">
        <v>36</v>
      </c>
      <c r="D31" s="16" t="s">
        <v>225</v>
      </c>
    </row>
    <row r="32" spans="1:4" x14ac:dyDescent="0.3">
      <c r="A32" s="16" t="s">
        <v>222</v>
      </c>
      <c r="B32" s="17" t="s">
        <v>210</v>
      </c>
      <c r="C32" s="16" t="s">
        <v>26</v>
      </c>
      <c r="D32" s="16" t="s">
        <v>211</v>
      </c>
    </row>
    <row r="33" spans="1:4" x14ac:dyDescent="0.3">
      <c r="A33" s="16" t="s">
        <v>222</v>
      </c>
      <c r="B33" s="20" t="s">
        <v>217</v>
      </c>
      <c r="C33" s="16" t="s">
        <v>223</v>
      </c>
      <c r="D33" s="16" t="s">
        <v>226</v>
      </c>
    </row>
    <row r="34" spans="1:4" x14ac:dyDescent="0.3">
      <c r="A34" s="16" t="s">
        <v>222</v>
      </c>
      <c r="B34" s="17" t="s">
        <v>207</v>
      </c>
      <c r="C34" s="16" t="s">
        <v>227</v>
      </c>
      <c r="D34" s="16" t="s">
        <v>228</v>
      </c>
    </row>
    <row r="35" spans="1:4" x14ac:dyDescent="0.3">
      <c r="A35" s="16" t="s">
        <v>229</v>
      </c>
      <c r="B35" s="17" t="s">
        <v>203</v>
      </c>
      <c r="C35" s="16" t="s">
        <v>102</v>
      </c>
      <c r="D35" s="16" t="s">
        <v>204</v>
      </c>
    </row>
    <row r="36" spans="1:4" x14ac:dyDescent="0.3">
      <c r="A36" s="16" t="s">
        <v>229</v>
      </c>
      <c r="B36" s="17" t="s">
        <v>203</v>
      </c>
      <c r="C36" s="16" t="s">
        <v>230</v>
      </c>
      <c r="D36" s="16" t="s">
        <v>204</v>
      </c>
    </row>
    <row r="37" spans="1:4" x14ac:dyDescent="0.3">
      <c r="A37" s="16" t="s">
        <v>229</v>
      </c>
      <c r="B37" s="17" t="s">
        <v>203</v>
      </c>
      <c r="C37" s="16" t="s">
        <v>27</v>
      </c>
      <c r="D37" s="16" t="s">
        <v>204</v>
      </c>
    </row>
    <row r="38" spans="1:4" x14ac:dyDescent="0.3">
      <c r="A38" s="16" t="s">
        <v>229</v>
      </c>
      <c r="B38" s="17" t="s">
        <v>203</v>
      </c>
      <c r="C38" s="16" t="s">
        <v>205</v>
      </c>
      <c r="D38" s="16" t="s">
        <v>204</v>
      </c>
    </row>
    <row r="39" spans="1:4" x14ac:dyDescent="0.3">
      <c r="A39" s="16" t="s">
        <v>229</v>
      </c>
      <c r="B39" s="17" t="s">
        <v>203</v>
      </c>
      <c r="C39" s="16" t="s">
        <v>105</v>
      </c>
      <c r="D39" s="16" t="s">
        <v>204</v>
      </c>
    </row>
    <row r="40" spans="1:4" x14ac:dyDescent="0.3">
      <c r="A40" s="16" t="s">
        <v>229</v>
      </c>
      <c r="B40" s="17" t="s">
        <v>203</v>
      </c>
      <c r="C40" s="16" t="s">
        <v>106</v>
      </c>
      <c r="D40" s="16" t="s">
        <v>204</v>
      </c>
    </row>
    <row r="41" spans="1:4" x14ac:dyDescent="0.3">
      <c r="A41" s="16" t="s">
        <v>229</v>
      </c>
      <c r="B41" s="17" t="s">
        <v>203</v>
      </c>
      <c r="C41" s="16" t="s">
        <v>107</v>
      </c>
      <c r="D41" s="16" t="s">
        <v>204</v>
      </c>
    </row>
    <row r="42" spans="1:4" x14ac:dyDescent="0.3">
      <c r="A42" s="16" t="s">
        <v>229</v>
      </c>
      <c r="B42" s="17" t="s">
        <v>203</v>
      </c>
      <c r="C42" s="16" t="s">
        <v>99</v>
      </c>
      <c r="D42" s="16" t="s">
        <v>204</v>
      </c>
    </row>
    <row r="43" spans="1:4" x14ac:dyDescent="0.3">
      <c r="A43" s="16" t="s">
        <v>229</v>
      </c>
      <c r="B43" s="17" t="s">
        <v>203</v>
      </c>
      <c r="C43" s="16" t="s">
        <v>36</v>
      </c>
      <c r="D43" s="16" t="s">
        <v>204</v>
      </c>
    </row>
    <row r="44" spans="1:4" ht="272.14999999999998" customHeight="1" x14ac:dyDescent="0.3">
      <c r="A44" s="21" t="s">
        <v>229</v>
      </c>
      <c r="B44" s="22" t="s">
        <v>203</v>
      </c>
      <c r="C44" s="21" t="s">
        <v>104</v>
      </c>
      <c r="D44" s="23" t="s">
        <v>231</v>
      </c>
    </row>
    <row r="45" spans="1:4" x14ac:dyDescent="0.3">
      <c r="A45" s="16" t="s">
        <v>229</v>
      </c>
      <c r="B45" s="17" t="s">
        <v>210</v>
      </c>
      <c r="C45" s="16" t="s">
        <v>102</v>
      </c>
      <c r="D45" s="16" t="s">
        <v>211</v>
      </c>
    </row>
    <row r="46" spans="1:4" x14ac:dyDescent="0.3">
      <c r="A46" s="16" t="s">
        <v>229</v>
      </c>
      <c r="B46" s="17" t="s">
        <v>210</v>
      </c>
      <c r="C46" s="16" t="s">
        <v>230</v>
      </c>
      <c r="D46" s="16" t="s">
        <v>211</v>
      </c>
    </row>
    <row r="47" spans="1:4" x14ac:dyDescent="0.3">
      <c r="A47" s="16" t="s">
        <v>229</v>
      </c>
      <c r="B47" s="17" t="s">
        <v>217</v>
      </c>
      <c r="C47" s="16" t="s">
        <v>205</v>
      </c>
      <c r="D47" s="16" t="s">
        <v>219</v>
      </c>
    </row>
    <row r="48" spans="1:4" x14ac:dyDescent="0.3">
      <c r="A48" s="16" t="s">
        <v>229</v>
      </c>
      <c r="B48" s="17" t="s">
        <v>212</v>
      </c>
      <c r="C48" s="16" t="s">
        <v>102</v>
      </c>
      <c r="D48" s="16" t="s">
        <v>225</v>
      </c>
    </row>
    <row r="49" spans="1:4" x14ac:dyDescent="0.3">
      <c r="A49" s="16" t="s">
        <v>229</v>
      </c>
      <c r="B49" s="17" t="s">
        <v>212</v>
      </c>
      <c r="C49" s="16" t="s">
        <v>230</v>
      </c>
      <c r="D49" s="16" t="s">
        <v>225</v>
      </c>
    </row>
    <row r="50" spans="1:4" x14ac:dyDescent="0.3">
      <c r="A50" s="16" t="s">
        <v>229</v>
      </c>
      <c r="B50" s="17" t="s">
        <v>212</v>
      </c>
      <c r="C50" s="16" t="s">
        <v>27</v>
      </c>
      <c r="D50" s="16" t="s">
        <v>213</v>
      </c>
    </row>
    <row r="51" spans="1:4" x14ac:dyDescent="0.3">
      <c r="A51" s="16" t="s">
        <v>229</v>
      </c>
      <c r="B51" s="17" t="s">
        <v>212</v>
      </c>
      <c r="C51" s="16" t="s">
        <v>106</v>
      </c>
      <c r="D51" s="16" t="s">
        <v>225</v>
      </c>
    </row>
    <row r="52" spans="1:4" x14ac:dyDescent="0.3">
      <c r="A52" s="16" t="s">
        <v>229</v>
      </c>
      <c r="B52" s="17" t="s">
        <v>212</v>
      </c>
      <c r="C52" s="16" t="s">
        <v>107</v>
      </c>
      <c r="D52" s="16" t="s">
        <v>225</v>
      </c>
    </row>
    <row r="53" spans="1:4" x14ac:dyDescent="0.3">
      <c r="A53" s="16" t="s">
        <v>229</v>
      </c>
      <c r="B53" s="17" t="s">
        <v>212</v>
      </c>
      <c r="C53" s="16" t="s">
        <v>36</v>
      </c>
      <c r="D53" s="16" t="s">
        <v>225</v>
      </c>
    </row>
    <row r="54" spans="1:4" x14ac:dyDescent="0.3">
      <c r="A54" s="16" t="s">
        <v>229</v>
      </c>
      <c r="B54" s="20" t="s">
        <v>207</v>
      </c>
      <c r="C54" s="16" t="s">
        <v>232</v>
      </c>
      <c r="D54" s="16" t="s">
        <v>233</v>
      </c>
    </row>
    <row r="55" spans="1:4" x14ac:dyDescent="0.3">
      <c r="A55" s="16" t="s">
        <v>222</v>
      </c>
      <c r="B55" s="24" t="s">
        <v>210</v>
      </c>
      <c r="C55" s="16" t="s">
        <v>97</v>
      </c>
      <c r="D55" s="16" t="s">
        <v>211</v>
      </c>
    </row>
  </sheetData>
  <autoFilter ref="A1:D55" xr:uid="{21EFD446-F0E3-4045-B98C-9CE57E1BDA62}"/>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4B8B91-688E-4C08-A250-344F6DEB8BFB}">
  <sheetPr>
    <tabColor theme="4" tint="-0.499984740745262"/>
  </sheetPr>
  <dimension ref="A1:G56"/>
  <sheetViews>
    <sheetView topLeftCell="B1" zoomScale="70" zoomScaleNormal="70" workbookViewId="0">
      <pane ySplit="1" topLeftCell="A2" activePane="bottomLeft" state="frozen"/>
      <selection pane="bottomLeft" activeCell="E9" sqref="E9"/>
    </sheetView>
  </sheetViews>
  <sheetFormatPr defaultRowHeight="14" x14ac:dyDescent="0.3"/>
  <cols>
    <col min="1" max="1" width="23.58203125" customWidth="1"/>
    <col min="2" max="2" width="24.75" customWidth="1"/>
    <col min="3" max="3" width="24.08203125" customWidth="1"/>
    <col min="4" max="4" width="33.58203125" bestFit="1" customWidth="1"/>
    <col min="5" max="5" width="33.75" style="63" bestFit="1" customWidth="1"/>
    <col min="6" max="6" width="54.58203125" bestFit="1" customWidth="1"/>
    <col min="7" max="7" width="5.58203125" bestFit="1" customWidth="1"/>
  </cols>
  <sheetData>
    <row r="1" spans="1:7" ht="27.65" customHeight="1" x14ac:dyDescent="0.3">
      <c r="A1" s="58" t="s">
        <v>234</v>
      </c>
      <c r="B1" s="58" t="s">
        <v>235</v>
      </c>
      <c r="C1" s="60" t="s">
        <v>199</v>
      </c>
      <c r="D1" s="61" t="s">
        <v>200</v>
      </c>
      <c r="E1" s="62" t="s">
        <v>236</v>
      </c>
      <c r="F1" s="64" t="s">
        <v>237</v>
      </c>
      <c r="G1" t="s">
        <v>238</v>
      </c>
    </row>
    <row r="2" spans="1:7" x14ac:dyDescent="0.3">
      <c r="A2" t="s">
        <v>229</v>
      </c>
      <c r="B2" t="s">
        <v>229</v>
      </c>
      <c r="C2" t="s">
        <v>212</v>
      </c>
      <c r="D2" t="s">
        <v>102</v>
      </c>
      <c r="E2" s="63">
        <f>AVERAGE('Cal_Business Metadata'!AD:AD)</f>
        <v>1</v>
      </c>
      <c r="F2" t="s">
        <v>239</v>
      </c>
    </row>
    <row r="3" spans="1:7" x14ac:dyDescent="0.3">
      <c r="A3" t="s">
        <v>229</v>
      </c>
      <c r="B3" t="s">
        <v>229</v>
      </c>
      <c r="C3" t="s">
        <v>212</v>
      </c>
      <c r="D3" t="s">
        <v>27</v>
      </c>
      <c r="E3" s="63">
        <f>AVERAGE('Cal_Business Metadata'!AF:AF)</f>
        <v>1</v>
      </c>
      <c r="F3" t="s">
        <v>240</v>
      </c>
    </row>
    <row r="4" spans="1:7" x14ac:dyDescent="0.3">
      <c r="A4" t="s">
        <v>229</v>
      </c>
      <c r="B4" t="s">
        <v>229</v>
      </c>
      <c r="C4" t="s">
        <v>212</v>
      </c>
      <c r="D4" t="s">
        <v>230</v>
      </c>
      <c r="E4" s="63">
        <f>AVERAGE('Cal_Business Metadata'!AE:AE)</f>
        <v>1</v>
      </c>
      <c r="F4" t="s">
        <v>241</v>
      </c>
    </row>
    <row r="5" spans="1:7" x14ac:dyDescent="0.3">
      <c r="A5" t="s">
        <v>229</v>
      </c>
      <c r="B5" t="s">
        <v>229</v>
      </c>
      <c r="C5" t="s">
        <v>212</v>
      </c>
      <c r="D5" t="s">
        <v>107</v>
      </c>
      <c r="E5" s="63">
        <f>AVERAGE('Cal_Business Metadata'!AH:AH)</f>
        <v>1</v>
      </c>
      <c r="F5" t="s">
        <v>242</v>
      </c>
    </row>
    <row r="6" spans="1:7" x14ac:dyDescent="0.3">
      <c r="A6" t="s">
        <v>229</v>
      </c>
      <c r="B6" t="s">
        <v>229</v>
      </c>
      <c r="C6" t="s">
        <v>212</v>
      </c>
      <c r="D6" t="s">
        <v>106</v>
      </c>
      <c r="E6" s="63">
        <f>AVERAGE('Cal_Business Metadata'!AG:AG)</f>
        <v>1</v>
      </c>
      <c r="F6" t="s">
        <v>243</v>
      </c>
    </row>
    <row r="7" spans="1:7" x14ac:dyDescent="0.3">
      <c r="A7" t="s">
        <v>229</v>
      </c>
      <c r="B7" t="s">
        <v>229</v>
      </c>
      <c r="C7" t="s">
        <v>212</v>
      </c>
      <c r="D7" t="s">
        <v>36</v>
      </c>
      <c r="E7" s="63">
        <f>AVERAGE('Cal_Business Metadata'!AI:AI)</f>
        <v>1</v>
      </c>
      <c r="F7" t="s">
        <v>244</v>
      </c>
    </row>
    <row r="8" spans="1:7" x14ac:dyDescent="0.3">
      <c r="A8" t="s">
        <v>229</v>
      </c>
      <c r="B8" t="s">
        <v>229</v>
      </c>
      <c r="C8" t="s">
        <v>203</v>
      </c>
      <c r="D8" t="s">
        <v>102</v>
      </c>
      <c r="E8" s="63">
        <f>AVERAGE('Cal_Business Metadata'!N:N)</f>
        <v>1</v>
      </c>
      <c r="F8" t="s">
        <v>245</v>
      </c>
    </row>
    <row r="9" spans="1:7" x14ac:dyDescent="0.3">
      <c r="A9" t="s">
        <v>229</v>
      </c>
      <c r="B9" t="s">
        <v>229</v>
      </c>
      <c r="C9" t="s">
        <v>203</v>
      </c>
      <c r="D9" t="s">
        <v>230</v>
      </c>
      <c r="E9" s="63">
        <f>AVERAGE('Cal_Business Metadata'!O:O)</f>
        <v>1</v>
      </c>
      <c r="F9" t="s">
        <v>246</v>
      </c>
    </row>
    <row r="10" spans="1:7" x14ac:dyDescent="0.3">
      <c r="A10" t="s">
        <v>229</v>
      </c>
      <c r="B10" t="s">
        <v>229</v>
      </c>
      <c r="C10" t="s">
        <v>203</v>
      </c>
      <c r="D10" t="s">
        <v>27</v>
      </c>
      <c r="E10" s="63">
        <f>AVERAGE('Cal_Business Metadata'!P:P)</f>
        <v>1</v>
      </c>
      <c r="F10" t="s">
        <v>247</v>
      </c>
    </row>
    <row r="11" spans="1:7" x14ac:dyDescent="0.3">
      <c r="A11" t="s">
        <v>229</v>
      </c>
      <c r="B11" t="s">
        <v>229</v>
      </c>
      <c r="C11" t="s">
        <v>203</v>
      </c>
      <c r="D11" t="s">
        <v>205</v>
      </c>
      <c r="E11" s="63">
        <f>AVERAGE('Cal_Business Metadata'!Q:Q)</f>
        <v>1</v>
      </c>
      <c r="F11" t="s">
        <v>248</v>
      </c>
    </row>
    <row r="12" spans="1:7" x14ac:dyDescent="0.3">
      <c r="A12" t="s">
        <v>229</v>
      </c>
      <c r="B12" t="s">
        <v>229</v>
      </c>
      <c r="C12" t="s">
        <v>203</v>
      </c>
      <c r="D12" t="s">
        <v>105</v>
      </c>
      <c r="E12" s="63">
        <f>AVERAGE('Cal_Business Metadata'!X:X)</f>
        <v>1</v>
      </c>
      <c r="F12" t="s">
        <v>249</v>
      </c>
    </row>
    <row r="13" spans="1:7" x14ac:dyDescent="0.3">
      <c r="A13" t="s">
        <v>229</v>
      </c>
      <c r="B13" t="s">
        <v>229</v>
      </c>
      <c r="C13" t="s">
        <v>203</v>
      </c>
      <c r="D13" t="s">
        <v>106</v>
      </c>
      <c r="E13" s="63">
        <f>AVERAGE('Cal_Business Metadata'!Y:Y)</f>
        <v>1</v>
      </c>
      <c r="F13" t="s">
        <v>250</v>
      </c>
    </row>
    <row r="14" spans="1:7" x14ac:dyDescent="0.3">
      <c r="A14" t="s">
        <v>229</v>
      </c>
      <c r="B14" t="s">
        <v>229</v>
      </c>
      <c r="C14" t="s">
        <v>203</v>
      </c>
      <c r="D14" t="s">
        <v>107</v>
      </c>
      <c r="E14" s="63">
        <f>AVERAGE('Cal_Business Metadata'!Z:Z)</f>
        <v>1</v>
      </c>
      <c r="F14" t="s">
        <v>251</v>
      </c>
    </row>
    <row r="15" spans="1:7" x14ac:dyDescent="0.3">
      <c r="A15" t="s">
        <v>229</v>
      </c>
      <c r="B15" t="s">
        <v>229</v>
      </c>
      <c r="C15" t="s">
        <v>203</v>
      </c>
      <c r="D15" t="s">
        <v>99</v>
      </c>
      <c r="E15" s="63">
        <f>AVERAGE('Cal_Business Metadata'!AA:AA)</f>
        <v>1</v>
      </c>
      <c r="F15" t="s">
        <v>252</v>
      </c>
    </row>
    <row r="16" spans="1:7" x14ac:dyDescent="0.3">
      <c r="A16" t="s">
        <v>229</v>
      </c>
      <c r="B16" t="s">
        <v>229</v>
      </c>
      <c r="C16" t="s">
        <v>203</v>
      </c>
      <c r="D16" t="s">
        <v>36</v>
      </c>
      <c r="E16" s="63">
        <f>AVERAGE('Cal_Business Metadata'!AB:AB)</f>
        <v>1</v>
      </c>
      <c r="F16" t="s">
        <v>253</v>
      </c>
    </row>
    <row r="17" spans="1:6" x14ac:dyDescent="0.3">
      <c r="A17" t="s">
        <v>229</v>
      </c>
      <c r="B17" t="s">
        <v>229</v>
      </c>
      <c r="C17" t="s">
        <v>203</v>
      </c>
      <c r="D17" t="s">
        <v>104</v>
      </c>
      <c r="E17" s="63">
        <f>AVERAGE('Cal_Business Metadata'!W:W)</f>
        <v>1</v>
      </c>
      <c r="F17" t="s">
        <v>254</v>
      </c>
    </row>
    <row r="18" spans="1:6" x14ac:dyDescent="0.3">
      <c r="A18" t="s">
        <v>229</v>
      </c>
      <c r="B18" t="s">
        <v>229</v>
      </c>
      <c r="C18" t="s">
        <v>207</v>
      </c>
      <c r="D18" t="s">
        <v>255</v>
      </c>
      <c r="E18" s="63">
        <f>AVERAGE('Cal_Business Metadata'!AP8)</f>
        <v>1</v>
      </c>
      <c r="F18" t="s">
        <v>256</v>
      </c>
    </row>
    <row r="19" spans="1:6" x14ac:dyDescent="0.3">
      <c r="A19" t="s">
        <v>229</v>
      </c>
      <c r="B19" t="s">
        <v>229</v>
      </c>
      <c r="C19" t="s">
        <v>217</v>
      </c>
      <c r="D19" t="s">
        <v>29</v>
      </c>
      <c r="E19" s="63">
        <f>AVERAGE('Cal_Business Metadata'!AK:AK)</f>
        <v>1</v>
      </c>
      <c r="F19" t="s">
        <v>257</v>
      </c>
    </row>
    <row r="20" spans="1:6" x14ac:dyDescent="0.3">
      <c r="A20" t="s">
        <v>229</v>
      </c>
      <c r="B20" t="s">
        <v>229</v>
      </c>
      <c r="C20" t="s">
        <v>210</v>
      </c>
      <c r="D20" t="s">
        <v>102</v>
      </c>
      <c r="E20" s="63">
        <f>AVERAGE('Cal_Business Metadata'!AM:AM)</f>
        <v>1</v>
      </c>
      <c r="F20" t="s">
        <v>258</v>
      </c>
    </row>
    <row r="21" spans="1:6" x14ac:dyDescent="0.3">
      <c r="A21" t="s">
        <v>229</v>
      </c>
      <c r="B21" t="s">
        <v>229</v>
      </c>
      <c r="C21" t="s">
        <v>210</v>
      </c>
      <c r="D21" t="s">
        <v>230</v>
      </c>
      <c r="E21" s="63">
        <f>AVERAGE('Cal_Business Metadata'!AP:AP)</f>
        <v>0.97368421052631582</v>
      </c>
      <c r="F21" t="s">
        <v>259</v>
      </c>
    </row>
    <row r="22" spans="1:6" x14ac:dyDescent="0.3">
      <c r="A22" t="s">
        <v>260</v>
      </c>
      <c r="B22" t="s">
        <v>202</v>
      </c>
      <c r="C22" t="s">
        <v>212</v>
      </c>
      <c r="D22" t="s">
        <v>27</v>
      </c>
      <c r="E22" s="63">
        <f>AVERAGE('Cal_Technical - Column'!AG:AG)</f>
        <v>1</v>
      </c>
      <c r="F22" t="s">
        <v>261</v>
      </c>
    </row>
    <row r="23" spans="1:6" x14ac:dyDescent="0.3">
      <c r="A23" t="s">
        <v>260</v>
      </c>
      <c r="B23" t="s">
        <v>202</v>
      </c>
      <c r="C23" t="s">
        <v>212</v>
      </c>
      <c r="D23" t="s">
        <v>26</v>
      </c>
      <c r="E23" s="63">
        <f>AVERAGE('Cal_Technical - Column'!AF:AF)</f>
        <v>1</v>
      </c>
      <c r="F23" t="s">
        <v>262</v>
      </c>
    </row>
    <row r="24" spans="1:6" x14ac:dyDescent="0.3">
      <c r="A24" t="s">
        <v>260</v>
      </c>
      <c r="B24" t="s">
        <v>202</v>
      </c>
      <c r="C24" t="s">
        <v>212</v>
      </c>
      <c r="D24" t="s">
        <v>25</v>
      </c>
      <c r="E24" s="63">
        <f>AVERAGE('Cal_Technical - Column'!AE:AE)</f>
        <v>1</v>
      </c>
      <c r="F24" t="s">
        <v>263</v>
      </c>
    </row>
    <row r="25" spans="1:6" x14ac:dyDescent="0.3">
      <c r="A25" t="s">
        <v>260</v>
      </c>
      <c r="B25" t="s">
        <v>202</v>
      </c>
      <c r="C25" t="s">
        <v>212</v>
      </c>
      <c r="D25" t="s">
        <v>24</v>
      </c>
      <c r="E25" s="63">
        <f>AVERAGE('Cal_Technical - Column'!AD:AD)</f>
        <v>1</v>
      </c>
      <c r="F25" t="s">
        <v>264</v>
      </c>
    </row>
    <row r="26" spans="1:6" x14ac:dyDescent="0.3">
      <c r="A26" t="s">
        <v>260</v>
      </c>
      <c r="B26" t="s">
        <v>202</v>
      </c>
      <c r="C26" t="s">
        <v>212</v>
      </c>
      <c r="D26" t="s">
        <v>36</v>
      </c>
      <c r="E26" s="63">
        <f>AVERAGE('Cal_Technical - Column'!AH:AH)</f>
        <v>1</v>
      </c>
      <c r="F26" t="s">
        <v>265</v>
      </c>
    </row>
    <row r="27" spans="1:6" x14ac:dyDescent="0.3">
      <c r="A27" t="s">
        <v>260</v>
      </c>
      <c r="B27" t="s">
        <v>202</v>
      </c>
      <c r="C27" t="s">
        <v>203</v>
      </c>
      <c r="D27" t="s">
        <v>27</v>
      </c>
      <c r="E27" s="63">
        <f>AVERAGE('Cal_Technical - Column'!Q:Q)</f>
        <v>1</v>
      </c>
      <c r="F27" t="s">
        <v>266</v>
      </c>
    </row>
    <row r="28" spans="1:6" x14ac:dyDescent="0.3">
      <c r="A28" t="s">
        <v>260</v>
      </c>
      <c r="B28" t="s">
        <v>202</v>
      </c>
      <c r="C28" t="s">
        <v>203</v>
      </c>
      <c r="D28" t="s">
        <v>26</v>
      </c>
      <c r="E28" s="63">
        <f>AVERAGE('Cal_Technical - Column'!P:P)</f>
        <v>1</v>
      </c>
      <c r="F28" t="s">
        <v>267</v>
      </c>
    </row>
    <row r="29" spans="1:6" x14ac:dyDescent="0.3">
      <c r="A29" t="s">
        <v>260</v>
      </c>
      <c r="B29" t="s">
        <v>202</v>
      </c>
      <c r="C29" t="s">
        <v>203</v>
      </c>
      <c r="D29" t="s">
        <v>268</v>
      </c>
      <c r="E29" s="63">
        <f>AVERAGE('Cal_Technical - Column'!R:R)</f>
        <v>1</v>
      </c>
      <c r="F29" t="s">
        <v>269</v>
      </c>
    </row>
    <row r="30" spans="1:6" x14ac:dyDescent="0.3">
      <c r="A30" t="s">
        <v>260</v>
      </c>
      <c r="B30" t="s">
        <v>202</v>
      </c>
      <c r="C30" t="s">
        <v>203</v>
      </c>
      <c r="D30" t="s">
        <v>32</v>
      </c>
      <c r="E30" s="63">
        <f>AVERAGE('Cal_Technical - Column'!U:U)</f>
        <v>1</v>
      </c>
      <c r="F30" t="s">
        <v>270</v>
      </c>
    </row>
    <row r="31" spans="1:6" x14ac:dyDescent="0.3">
      <c r="A31" t="s">
        <v>260</v>
      </c>
      <c r="B31" t="s">
        <v>202</v>
      </c>
      <c r="C31" t="s">
        <v>203</v>
      </c>
      <c r="D31" t="s">
        <v>34</v>
      </c>
      <c r="E31" s="63">
        <f>AVERAGE('Cal_Technical - Column'!V:V)</f>
        <v>1</v>
      </c>
      <c r="F31" t="s">
        <v>271</v>
      </c>
    </row>
    <row r="32" spans="1:6" x14ac:dyDescent="0.3">
      <c r="A32" t="s">
        <v>260</v>
      </c>
      <c r="B32" t="s">
        <v>202</v>
      </c>
      <c r="C32" t="s">
        <v>203</v>
      </c>
      <c r="D32" t="s">
        <v>29</v>
      </c>
      <c r="E32" s="63">
        <f>AVERAGE('Cal_Technical - Column'!S:S)</f>
        <v>1</v>
      </c>
      <c r="F32" t="s">
        <v>272</v>
      </c>
    </row>
    <row r="33" spans="1:6" x14ac:dyDescent="0.3">
      <c r="A33" t="s">
        <v>260</v>
      </c>
      <c r="B33" t="s">
        <v>202</v>
      </c>
      <c r="C33" t="s">
        <v>203</v>
      </c>
      <c r="D33" t="s">
        <v>25</v>
      </c>
      <c r="E33" s="63">
        <f>AVERAGE('Cal_Technical - Column'!O:O)</f>
        <v>1</v>
      </c>
      <c r="F33" t="s">
        <v>273</v>
      </c>
    </row>
    <row r="34" spans="1:6" x14ac:dyDescent="0.3">
      <c r="A34" t="s">
        <v>260</v>
      </c>
      <c r="B34" t="s">
        <v>202</v>
      </c>
      <c r="C34" t="s">
        <v>203</v>
      </c>
      <c r="D34" t="s">
        <v>24</v>
      </c>
      <c r="E34" s="63">
        <f>AVERAGE('Cal_Technical - Column'!N:N)</f>
        <v>1</v>
      </c>
      <c r="F34" t="s">
        <v>274</v>
      </c>
    </row>
    <row r="35" spans="1:6" x14ac:dyDescent="0.3">
      <c r="A35" t="s">
        <v>260</v>
      </c>
      <c r="B35" t="s">
        <v>202</v>
      </c>
      <c r="C35" t="s">
        <v>203</v>
      </c>
      <c r="D35" t="s">
        <v>31</v>
      </c>
      <c r="E35" s="63">
        <f>AVERAGE('Cal_Technical - Column'!T:T)</f>
        <v>1</v>
      </c>
      <c r="F35" t="s">
        <v>275</v>
      </c>
    </row>
    <row r="36" spans="1:6" x14ac:dyDescent="0.3">
      <c r="A36" t="s">
        <v>260</v>
      </c>
      <c r="B36" t="s">
        <v>202</v>
      </c>
      <c r="C36" t="s">
        <v>203</v>
      </c>
      <c r="D36" t="s">
        <v>36</v>
      </c>
      <c r="E36" s="63">
        <f>AVERAGE('Cal_Technical - Column'!X:X)</f>
        <v>1</v>
      </c>
      <c r="F36" t="s">
        <v>276</v>
      </c>
    </row>
    <row r="37" spans="1:6" x14ac:dyDescent="0.3">
      <c r="A37" t="s">
        <v>260</v>
      </c>
      <c r="B37" t="s">
        <v>202</v>
      </c>
      <c r="C37" t="s">
        <v>203</v>
      </c>
      <c r="D37" t="s">
        <v>99</v>
      </c>
      <c r="E37" s="63">
        <f>AVERAGE('Cal_Technical - Column'!W:W)</f>
        <v>1</v>
      </c>
      <c r="F37" t="s">
        <v>277</v>
      </c>
    </row>
    <row r="38" spans="1:6" x14ac:dyDescent="0.3">
      <c r="A38" t="s">
        <v>260</v>
      </c>
      <c r="B38" t="s">
        <v>202</v>
      </c>
      <c r="C38" t="s">
        <v>207</v>
      </c>
      <c r="D38" t="s">
        <v>209</v>
      </c>
      <c r="E38" s="63">
        <f>AVERAGE('Cal_Technical - Column'!Z:Z)</f>
        <v>1</v>
      </c>
      <c r="F38" t="s">
        <v>278</v>
      </c>
    </row>
    <row r="39" spans="1:6" x14ac:dyDescent="0.3">
      <c r="A39" t="s">
        <v>260</v>
      </c>
      <c r="B39" t="s">
        <v>202</v>
      </c>
      <c r="C39" t="s">
        <v>217</v>
      </c>
      <c r="D39" t="s">
        <v>28</v>
      </c>
      <c r="E39" s="63">
        <f>AVERAGE('Cal_Technical - Column'!AJ:AJ)</f>
        <v>1</v>
      </c>
      <c r="F39" t="s">
        <v>279</v>
      </c>
    </row>
    <row r="40" spans="1:6" x14ac:dyDescent="0.3">
      <c r="A40" t="s">
        <v>260</v>
      </c>
      <c r="B40" t="s">
        <v>202</v>
      </c>
      <c r="C40" t="s">
        <v>217</v>
      </c>
      <c r="D40" t="s">
        <v>29</v>
      </c>
      <c r="E40" s="63">
        <f>AVERAGE('Cal_Technical - Column'!AK:AK)</f>
        <v>1</v>
      </c>
      <c r="F40" t="s">
        <v>280</v>
      </c>
    </row>
    <row r="41" spans="1:6" x14ac:dyDescent="0.3">
      <c r="A41" t="s">
        <v>260</v>
      </c>
      <c r="B41" t="s">
        <v>202</v>
      </c>
      <c r="C41" t="s">
        <v>217</v>
      </c>
      <c r="D41" t="s">
        <v>31</v>
      </c>
      <c r="E41" s="63">
        <f>AVERAGE('Cal_Technical - Column'!AM:AM)</f>
        <v>1</v>
      </c>
      <c r="F41" t="s">
        <v>281</v>
      </c>
    </row>
    <row r="42" spans="1:6" x14ac:dyDescent="0.3">
      <c r="A42" t="s">
        <v>260</v>
      </c>
      <c r="B42" t="s">
        <v>202</v>
      </c>
      <c r="C42" t="s">
        <v>217</v>
      </c>
      <c r="D42" t="s">
        <v>34</v>
      </c>
      <c r="E42" s="63">
        <f>AVERAGE('Cal_Technical - Column'!AN:AN)</f>
        <v>1</v>
      </c>
      <c r="F42" t="s">
        <v>282</v>
      </c>
    </row>
    <row r="43" spans="1:6" x14ac:dyDescent="0.3">
      <c r="A43" t="s">
        <v>260</v>
      </c>
      <c r="B43" t="s">
        <v>202</v>
      </c>
      <c r="C43" t="s">
        <v>210</v>
      </c>
      <c r="D43" t="s">
        <v>27</v>
      </c>
      <c r="E43" s="63">
        <f>AVERAGE('Cal_Technical - Column'!AB:AB)</f>
        <v>1</v>
      </c>
      <c r="F43" t="s">
        <v>283</v>
      </c>
    </row>
    <row r="44" spans="1:6" x14ac:dyDescent="0.3">
      <c r="A44" t="s">
        <v>260</v>
      </c>
      <c r="B44" t="s">
        <v>222</v>
      </c>
      <c r="C44" t="s">
        <v>212</v>
      </c>
      <c r="D44" t="s">
        <v>26</v>
      </c>
      <c r="E44" s="63">
        <f>AVERAGE('Cal_Technical - Data Set'!M:M)</f>
        <v>1</v>
      </c>
      <c r="F44" t="s">
        <v>284</v>
      </c>
    </row>
    <row r="45" spans="1:6" x14ac:dyDescent="0.3">
      <c r="A45" t="s">
        <v>260</v>
      </c>
      <c r="B45" t="s">
        <v>222</v>
      </c>
      <c r="C45" t="s">
        <v>212</v>
      </c>
      <c r="D45" t="s">
        <v>97</v>
      </c>
      <c r="E45" s="63">
        <f>AVERAGE('Cal_Technical - Data Set'!N:N)</f>
        <v>1</v>
      </c>
      <c r="F45" t="s">
        <v>285</v>
      </c>
    </row>
    <row r="46" spans="1:6" x14ac:dyDescent="0.3">
      <c r="A46" t="s">
        <v>260</v>
      </c>
      <c r="B46" t="s">
        <v>222</v>
      </c>
      <c r="C46" t="s">
        <v>212</v>
      </c>
      <c r="D46" t="s">
        <v>36</v>
      </c>
      <c r="E46" s="63">
        <f>AVERAGE('Cal_Technical - Data Set'!O:O)</f>
        <v>1</v>
      </c>
      <c r="F46" t="s">
        <v>286</v>
      </c>
    </row>
    <row r="47" spans="1:6" x14ac:dyDescent="0.3">
      <c r="A47" t="s">
        <v>260</v>
      </c>
      <c r="B47" t="s">
        <v>222</v>
      </c>
      <c r="C47" t="s">
        <v>203</v>
      </c>
      <c r="D47" t="s">
        <v>26</v>
      </c>
      <c r="E47" s="63">
        <f>AVERAGE('Cal_Technical - Data Set'!G:G)</f>
        <v>1</v>
      </c>
      <c r="F47" t="s">
        <v>287</v>
      </c>
    </row>
    <row r="48" spans="1:6" x14ac:dyDescent="0.3">
      <c r="A48" t="s">
        <v>260</v>
      </c>
      <c r="B48" t="s">
        <v>222</v>
      </c>
      <c r="C48" t="s">
        <v>203</v>
      </c>
      <c r="D48" t="s">
        <v>97</v>
      </c>
      <c r="E48" s="63">
        <f>AVERAGE('Cal_Technical - Data Set'!H:H)</f>
        <v>1</v>
      </c>
      <c r="F48" t="s">
        <v>288</v>
      </c>
    </row>
    <row r="49" spans="1:6" x14ac:dyDescent="0.3">
      <c r="A49" t="s">
        <v>260</v>
      </c>
      <c r="B49" t="s">
        <v>222</v>
      </c>
      <c r="C49" t="s">
        <v>203</v>
      </c>
      <c r="D49" t="s">
        <v>223</v>
      </c>
      <c r="E49" s="63">
        <f>AVERAGE('Cal_Technical - Data Set'!I:I)</f>
        <v>1</v>
      </c>
      <c r="F49" t="s">
        <v>289</v>
      </c>
    </row>
    <row r="50" spans="1:6" x14ac:dyDescent="0.3">
      <c r="A50" t="s">
        <v>260</v>
      </c>
      <c r="B50" t="s">
        <v>222</v>
      </c>
      <c r="C50" t="s">
        <v>203</v>
      </c>
      <c r="D50" t="s">
        <v>99</v>
      </c>
      <c r="E50" s="63">
        <f>AVERAGE('Cal_Technical - Data Set'!J:J)</f>
        <v>1</v>
      </c>
      <c r="F50" t="s">
        <v>290</v>
      </c>
    </row>
    <row r="51" spans="1:6" x14ac:dyDescent="0.3">
      <c r="A51" t="s">
        <v>260</v>
      </c>
      <c r="B51" t="s">
        <v>222</v>
      </c>
      <c r="C51" t="s">
        <v>203</v>
      </c>
      <c r="D51" t="s">
        <v>36</v>
      </c>
      <c r="E51" s="63">
        <f>AVERAGE('Cal_Technical - Data Set'!K:K)</f>
        <v>1</v>
      </c>
      <c r="F51" t="s">
        <v>291</v>
      </c>
    </row>
    <row r="52" spans="1:6" x14ac:dyDescent="0.3">
      <c r="A52" t="s">
        <v>260</v>
      </c>
      <c r="B52" t="s">
        <v>222</v>
      </c>
      <c r="C52" t="s">
        <v>207</v>
      </c>
      <c r="D52" t="s">
        <v>228</v>
      </c>
      <c r="E52" s="63">
        <f>AVERAGE('Cal_Technical - Data Set'!U:U)</f>
        <v>1</v>
      </c>
      <c r="F52" t="s">
        <v>292</v>
      </c>
    </row>
    <row r="53" spans="1:6" x14ac:dyDescent="0.3">
      <c r="A53" t="s">
        <v>260</v>
      </c>
      <c r="B53" t="s">
        <v>222</v>
      </c>
      <c r="C53" t="s">
        <v>217</v>
      </c>
      <c r="D53" t="s">
        <v>223</v>
      </c>
      <c r="E53" s="63">
        <f>AVERAGE('Cal_Technical - Data Set'!W:W)</f>
        <v>1</v>
      </c>
      <c r="F53" t="s">
        <v>293</v>
      </c>
    </row>
    <row r="54" spans="1:6" x14ac:dyDescent="0.3">
      <c r="A54" t="s">
        <v>260</v>
      </c>
      <c r="B54" t="s">
        <v>222</v>
      </c>
      <c r="C54" t="s">
        <v>210</v>
      </c>
      <c r="D54" t="s">
        <v>26</v>
      </c>
      <c r="E54" s="63">
        <f>AVERAGE('Cal_Technical - Data Set'!Q:Q)</f>
        <v>1</v>
      </c>
      <c r="F54" t="s">
        <v>294</v>
      </c>
    </row>
    <row r="55" spans="1:6" x14ac:dyDescent="0.3">
      <c r="A55" t="s">
        <v>260</v>
      </c>
      <c r="B55" t="s">
        <v>222</v>
      </c>
      <c r="C55" t="s">
        <v>210</v>
      </c>
      <c r="D55" t="s">
        <v>97</v>
      </c>
      <c r="E55" s="63">
        <f>AVERAGE('Cal_Technical - Data Set'!S:S)</f>
        <v>1</v>
      </c>
      <c r="F55" t="s">
        <v>295</v>
      </c>
    </row>
    <row r="56" spans="1:6" x14ac:dyDescent="0.3">
      <c r="A56" t="s">
        <v>229</v>
      </c>
      <c r="B56" t="s">
        <v>229</v>
      </c>
      <c r="C56" t="s">
        <v>210</v>
      </c>
      <c r="D56" t="s">
        <v>296</v>
      </c>
      <c r="E56" s="63">
        <f>AVERAGE('Cal_Business Metadata'!AP:AP)</f>
        <v>0.97368421052631582</v>
      </c>
      <c r="F56" t="s">
        <v>297</v>
      </c>
    </row>
  </sheetData>
  <autoFilter ref="A1:E56" xr:uid="{0F4B8B91-688E-4C08-A250-344F6DEB8BFB}"/>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A95F6-1881-4F84-8A14-4922267548B9}">
  <sheetPr>
    <tabColor theme="4" tint="-0.499984740745262"/>
  </sheetPr>
  <dimension ref="A1:B4"/>
  <sheetViews>
    <sheetView zoomScale="90" zoomScaleNormal="90" workbookViewId="0">
      <pane ySplit="1" topLeftCell="A2" activePane="bottomLeft" state="frozen"/>
      <selection pane="bottomLeft" activeCell="C19" sqref="C19"/>
    </sheetView>
  </sheetViews>
  <sheetFormatPr defaultRowHeight="14" x14ac:dyDescent="0.3"/>
  <cols>
    <col min="1" max="2" width="24.75" customWidth="1"/>
    <col min="3" max="3" width="29.83203125" customWidth="1"/>
  </cols>
  <sheetData>
    <row r="1" spans="1:2" ht="27.65" customHeight="1" x14ac:dyDescent="0.3">
      <c r="A1" s="58" t="s">
        <v>235</v>
      </c>
      <c r="B1" s="59" t="s">
        <v>298</v>
      </c>
    </row>
    <row r="2" spans="1:2" x14ac:dyDescent="0.3">
      <c r="A2" t="s">
        <v>229</v>
      </c>
      <c r="B2">
        <f>COUNTA('Cal_Business Metadata'!B:B)-1</f>
        <v>154</v>
      </c>
    </row>
    <row r="3" spans="1:2" x14ac:dyDescent="0.3">
      <c r="A3" t="s">
        <v>202</v>
      </c>
      <c r="B3">
        <f>COUNTA('Cal_Technical - Column'!D:D)-1</f>
        <v>154</v>
      </c>
    </row>
    <row r="4" spans="1:2" x14ac:dyDescent="0.3">
      <c r="A4" t="s">
        <v>222</v>
      </c>
      <c r="B4">
        <f>COUNTA('Cal_Technical - Data Set'!A:A)-1</f>
        <v>5</v>
      </c>
    </row>
  </sheetData>
  <autoFilter ref="A1:B4" xr:uid="{0F4B8B91-688E-4C08-A250-344F6DEB8BFB}"/>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65E2B3-F457-4CFD-9C96-A0EE39514092}">
  <sheetPr>
    <tabColor rgb="FFC00000"/>
  </sheetPr>
  <dimension ref="A1:AR155"/>
  <sheetViews>
    <sheetView tabSelected="1" topLeftCell="A103" zoomScale="55" zoomScaleNormal="55" workbookViewId="0">
      <selection activeCell="C70" sqref="C70"/>
    </sheetView>
  </sheetViews>
  <sheetFormatPr defaultColWidth="8.58203125" defaultRowHeight="12.5" x14ac:dyDescent="0.25"/>
  <cols>
    <col min="1" max="1" width="7.4140625" style="2" bestFit="1" customWidth="1"/>
    <col min="2" max="2" width="19.5" style="2" bestFit="1" customWidth="1"/>
    <col min="3" max="3" width="19.5" style="72" bestFit="1" customWidth="1"/>
    <col min="4" max="4" width="19.5" style="2" bestFit="1" customWidth="1"/>
    <col min="5" max="5" width="14.58203125" style="2" bestFit="1" customWidth="1"/>
    <col min="6" max="6" width="19.5" style="2" bestFit="1" customWidth="1"/>
    <col min="7" max="7" width="80.58203125" style="2" hidden="1" customWidth="1"/>
    <col min="8" max="8" width="22.75" style="2" hidden="1" customWidth="1"/>
    <col min="9" max="9" width="15.75" style="2" hidden="1" customWidth="1"/>
    <col min="10" max="10" width="15" style="2" hidden="1" customWidth="1"/>
    <col min="11" max="11" width="13.08203125" style="2" hidden="1" customWidth="1"/>
    <col min="12" max="12" width="17.08203125" style="2" hidden="1" customWidth="1"/>
    <col min="13" max="13" width="13.25" style="2" customWidth="1"/>
    <col min="14" max="14" width="12.08203125" style="2" hidden="1" customWidth="1"/>
    <col min="15" max="15" width="19" style="2" hidden="1" customWidth="1"/>
    <col min="16" max="17" width="29.83203125" style="2" hidden="1" customWidth="1"/>
    <col min="18" max="19" width="29.83203125" style="2" customWidth="1"/>
    <col min="20" max="20" width="26.5" style="2" customWidth="1"/>
    <col min="21" max="21" width="18.58203125" style="2" customWidth="1"/>
    <col min="22" max="22" width="18.83203125" style="2" customWidth="1"/>
    <col min="23" max="28" width="16.58203125" style="2" customWidth="1"/>
    <col min="29" max="29" width="22.33203125" style="2" customWidth="1"/>
    <col min="30" max="30" width="19.5" style="2" customWidth="1"/>
    <col min="31" max="31" width="21.58203125" style="2" customWidth="1"/>
    <col min="32" max="32" width="21.08203125" style="2" customWidth="1"/>
    <col min="33" max="33" width="17.08203125" style="2" customWidth="1"/>
    <col min="34" max="35" width="15.08203125" style="2" customWidth="1"/>
    <col min="36" max="36" width="23.83203125" style="2" customWidth="1"/>
    <col min="37" max="37" width="18.25" style="2" customWidth="1"/>
    <col min="38" max="38" width="16.83203125" style="2" customWidth="1"/>
    <col min="39" max="39" width="17.08203125" style="2" customWidth="1"/>
    <col min="40" max="40" width="79" style="2" customWidth="1"/>
    <col min="41" max="41" width="13.08203125" style="2" customWidth="1"/>
    <col min="42" max="42" width="20.08203125" style="2" customWidth="1"/>
    <col min="43" max="43" width="28.08203125" style="2" customWidth="1"/>
    <col min="44" max="44" width="13" style="2" customWidth="1"/>
    <col min="45" max="45" width="31.33203125" style="2" customWidth="1"/>
    <col min="46" max="46" width="16.33203125" style="2" customWidth="1"/>
    <col min="47" max="47" width="16.58203125" style="2" customWidth="1"/>
    <col min="48" max="48" width="14.83203125" style="2" customWidth="1"/>
    <col min="49" max="49" width="17.58203125" style="2" customWidth="1"/>
    <col min="50" max="50" width="14" style="2" customWidth="1"/>
    <col min="51" max="16384" width="8.58203125" style="2"/>
  </cols>
  <sheetData>
    <row r="1" spans="1:44" ht="62.5" x14ac:dyDescent="0.3">
      <c r="A1" s="2" t="s">
        <v>6</v>
      </c>
      <c r="B1" s="2" t="s">
        <v>102</v>
      </c>
      <c r="C1" s="1" t="s">
        <v>103</v>
      </c>
      <c r="D1" s="2" t="s">
        <v>27</v>
      </c>
      <c r="E1" s="2" t="s">
        <v>29</v>
      </c>
      <c r="F1" s="2" t="s">
        <v>104</v>
      </c>
      <c r="G1" s="2" t="s">
        <v>105</v>
      </c>
      <c r="H1" s="2" t="s">
        <v>106</v>
      </c>
      <c r="I1" s="2" t="s">
        <v>107</v>
      </c>
      <c r="J1" s="2" t="s">
        <v>99</v>
      </c>
      <c r="K1" s="2" t="s">
        <v>36</v>
      </c>
      <c r="L1" s="2" t="s">
        <v>108</v>
      </c>
      <c r="M1"/>
      <c r="N1" s="3" t="s">
        <v>299</v>
      </c>
      <c r="O1" s="3" t="s">
        <v>300</v>
      </c>
      <c r="P1" s="3" t="s">
        <v>301</v>
      </c>
      <c r="Q1" s="3" t="s">
        <v>302</v>
      </c>
      <c r="R1" s="4" t="s">
        <v>303</v>
      </c>
      <c r="S1" s="4" t="s">
        <v>304</v>
      </c>
      <c r="T1" s="4" t="s">
        <v>305</v>
      </c>
      <c r="U1" s="4" t="s">
        <v>306</v>
      </c>
      <c r="V1" s="4" t="s">
        <v>307</v>
      </c>
      <c r="W1" s="3" t="s">
        <v>308</v>
      </c>
      <c r="X1" s="3" t="s">
        <v>309</v>
      </c>
      <c r="Y1" s="3" t="s">
        <v>310</v>
      </c>
      <c r="Z1" s="3" t="s">
        <v>311</v>
      </c>
      <c r="AA1" s="3" t="s">
        <v>312</v>
      </c>
      <c r="AB1" s="3" t="s">
        <v>313</v>
      </c>
      <c r="AC1" s="9"/>
      <c r="AD1" s="5" t="s">
        <v>314</v>
      </c>
      <c r="AE1" s="5" t="s">
        <v>315</v>
      </c>
      <c r="AF1" s="5" t="s">
        <v>316</v>
      </c>
      <c r="AG1" s="5" t="s">
        <v>317</v>
      </c>
      <c r="AH1" s="5" t="s">
        <v>318</v>
      </c>
      <c r="AI1" s="5" t="s">
        <v>319</v>
      </c>
      <c r="AK1" s="6" t="s">
        <v>320</v>
      </c>
      <c r="AM1" s="7" t="s">
        <v>321</v>
      </c>
      <c r="AN1" s="7" t="s">
        <v>322</v>
      </c>
      <c r="AO1" s="7" t="s">
        <v>323</v>
      </c>
      <c r="AP1" s="7" t="s">
        <v>324</v>
      </c>
      <c r="AR1" s="8" t="s">
        <v>325</v>
      </c>
    </row>
    <row r="2" spans="1:44" ht="392" x14ac:dyDescent="0.3">
      <c r="A2" s="74">
        <v>1</v>
      </c>
      <c r="B2" s="74" t="s">
        <v>109</v>
      </c>
      <c r="C2" s="1" t="s">
        <v>110</v>
      </c>
      <c r="D2" s="74" t="s">
        <v>41</v>
      </c>
      <c r="E2" s="74" t="s">
        <v>43</v>
      </c>
      <c r="F2" s="2" t="s">
        <v>111</v>
      </c>
      <c r="G2" s="74" t="s">
        <v>112</v>
      </c>
      <c r="H2" s="74" t="s">
        <v>113</v>
      </c>
      <c r="I2" s="74" t="s">
        <v>114</v>
      </c>
      <c r="J2" s="70">
        <v>45300</v>
      </c>
      <c r="K2" s="74" t="s">
        <v>57</v>
      </c>
      <c r="L2" s="74" t="s">
        <v>38</v>
      </c>
      <c r="M2"/>
      <c r="N2" s="2">
        <f>IF(ISBLANK(Calculate_Business_Metadata[[#This Row],[Business Attribute Name]])=TRUE, 0, 1)</f>
        <v>1</v>
      </c>
      <c r="O2" s="2">
        <f>IF(ISBLANK(Calculate_Business_Metadata[[#This Row],[Business Definition (EN)]])=TRUE, 0, 1)</f>
        <v>1</v>
      </c>
      <c r="P2" s="2">
        <f>IF(ISBLANK(Calculate_Business_Metadata[[#This Row],[Column Name]])=TRUE, 0, 1)</f>
        <v>1</v>
      </c>
      <c r="Q2" s="2">
        <f>IF(ISBLANK(Calculate_Business_Metadata[[#This Row],[PII/Non-PII]])=TRUE, 0, 1)</f>
        <v>1</v>
      </c>
      <c r="R2" s="2" t="b">
        <f>ISERROR(FIND("-", Calculate_Business_Metadata[[#This Row],[List of Allowable Values]]))</f>
        <v>1</v>
      </c>
      <c r="S2" s="2" t="b">
        <f>ISERROR(FIND("Flag",Calculate_Business_Metadata[[#This Row],[List of Allowable Values]], 1))</f>
        <v>1</v>
      </c>
      <c r="T2" s="2" t="b">
        <f>ISERROR(FIND("In this case, the list of allowable values can be contact",Calculate_Business_Metadata[[#This Row],[List of Allowable Values]], 1))</f>
        <v>1</v>
      </c>
      <c r="U2" s="2" t="b">
        <f>ISERROR(FIND("In this case, the list of allowable values can be found",Calculate_Business_Metadata[[#This Row],[List of Allowable Values]], 1))</f>
        <v>1</v>
      </c>
      <c r="V2" s="2" t="b">
        <f>ISERROR(FIND("list of allowable values",Calculate_Business_Metadata[[#This Row],[List of Allowable Values]], 1))</f>
        <v>1</v>
      </c>
      <c r="W2" s="2">
        <f>IF(OR(R2=TRUE,S2=FALSE, T2=FALSE,U2=FALSE)=TRUE, 1,
IF(AND(R2=FALSE,S2=TRUE)=TRUE, 1, 0))</f>
        <v>1</v>
      </c>
      <c r="X2" s="2">
        <f>IF(ISBLANK(Calculate_Business_Metadata[[#This Row],[Sample Data]])=TRUE, 0, 1)</f>
        <v>1</v>
      </c>
      <c r="Y2" s="2">
        <f>IF(ISBLANK(Calculate_Business_Metadata[[#This Row],[Business Data Steward]])=TRUE, 0, 1)</f>
        <v>1</v>
      </c>
      <c r="Z2" s="2">
        <f>IF(ISBLANK(Calculate_Business_Metadata[[#This Row],[Data Owner]])=TRUE, 0, 1)</f>
        <v>1</v>
      </c>
      <c r="AA2" s="2">
        <f>IF(ISBLANK(Calculate_Business_Metadata[[#This Row],[Updated Date]])=TRUE, 0, 1)</f>
        <v>1</v>
      </c>
      <c r="AB2" s="2">
        <f>IF(ISBLANK(Calculate_Business_Metadata[[#This Row],[Updated By]])=TRUE, 0, 1)</f>
        <v>1</v>
      </c>
      <c r="AD2" s="2">
        <f>IF(OR(
ISERROR(FIND("  ",Calculate_Business_Metadata[[#This Row],[Business Attribute Name]], 1))=FALSE,
ISERROR(FIND("_",Calculate_Business_Metadata[[#This Row],[Business Attribute Name]], 1))=FALSE)=TRUE, 0, 1)</f>
        <v>1</v>
      </c>
      <c r="AE2" s="2">
        <f>IF(OR(
ISERROR(FIND("  ",Calculate_Business_Metadata[[#This Row],[Business Definition (EN)]], 1))=FALSE,
ISERROR(FIND("__",Calculate_Business_Metadata[[#This Row],[Business Definition (EN)]], 1))=FALSE)=TRUE, 0, 1)</f>
        <v>1</v>
      </c>
      <c r="AF2" s="2">
        <f>IF(OR(
ISERROR(FIND("  ",Calculate_Business_Metadata[[#This Row],[Column Name]], 1))=FALSE,
ISERROR(FIND("__",Calculate_Business_Metadata[[#This Row],[Column Name]], 1))=FALSE)=TRUE, 0, 1)</f>
        <v>1</v>
      </c>
      <c r="AG2" s="2">
        <f>IF(OR(
ISERROR(FIND("  ",Calculate_Business_Metadata[[#This Row],[Business Data Steward]], 1))=FALSE,
ISERROR(FIND("_",Calculate_Business_Metadata[[#This Row],[Business Data Steward]], 1))=FALSE)=TRUE, 0, 1)</f>
        <v>1</v>
      </c>
      <c r="AH2" s="2">
        <f>IF(OR(
ISERROR(FIND("  ",Calculate_Business_Metadata[[#This Row],[Data Owner]], 1))=FALSE,
ISERROR(FIND("_",Calculate_Business_Metadata[[#This Row],[Data Owner]], 1))=FALSE)=TRUE, 0, 1)</f>
        <v>1</v>
      </c>
      <c r="AI2" s="2">
        <f>IF(OR(
ISERROR(FIND("  ",Calculate_Business_Metadata[[#This Row],[Updated By]], 1))=FALSE,
ISERROR(FIND("_",Calculate_Business_Metadata[[#This Row],[Updated By]], 1))=FALSE)=TRUE, 0, 1)</f>
        <v>1</v>
      </c>
      <c r="AK2" s="2">
        <f>IF(OR(ISERROR(FIND("PII",Calculate_Business_Metadata[[#This Row],[PII/Non-PII]], 1))=FALSE, ISERROR(FIND("PII",Calculate_Business_Metadata[[#This Row],[PII/Non-PII]], 1))=FALSE)=TRUE, 1, 0)</f>
        <v>1</v>
      </c>
      <c r="AM2" s="2">
        <f>IF( COUNTIFS(B:B, Calculate_Business_Metadata[[#This Row],[Business Attribute Name]], D:D, Calculate_Business_Metadata[[#This Row],[Column Name]], L:L, Calculate_Business_Metadata[[#This Row],[Subdomain]]) &gt; 1, 0, 1)</f>
        <v>1</v>
      </c>
      <c r="AN2" s="2" t="str">
        <f>LEFT(Calculate_Business_Metadata[[#This Row],[Business Definition (EN)]], 150)</f>
        <v>Type of card that customers use as evidence for account opening(ประเภทบัตรที่ลูกค้าใช้เป็นหลักฐานในการเปิดบัญชี)
Sample list of allowable values incl</v>
      </c>
      <c r="AO2" s="2">
        <f ca="1">IF( COUNTIFS(AO:AO,AN2, B:B, Calculate_Business_Metadata[[#This Row],[Business Attribute Name]],L:L, Calculate_Business_Metadata[[#This Row],[Subdomain]]) &lt;&gt; 1, 0, 1)</f>
        <v>0</v>
      </c>
      <c r="AP2" s="2">
        <f>IF(COUNTIFS(B:B, Calculate_Business_Metadata[[#This Row],[Business Attribute Name]], D:D, Calculate_Business_Metadata[[#This Row],[Column Name]], AN:AN, AN2) &gt;1, 0, 1)</f>
        <v>1</v>
      </c>
      <c r="AR2" s="2">
        <f>IF(COUNTIFS('Cal_Technical - Column'!D:D, Calculate_Business_Metadata[[#This Row],[Column Name]])&gt; 0, 1, 0)</f>
        <v>1</v>
      </c>
    </row>
    <row r="3" spans="1:44" ht="392" x14ac:dyDescent="0.3">
      <c r="A3" s="74">
        <v>2</v>
      </c>
      <c r="B3" s="74" t="s">
        <v>115</v>
      </c>
      <c r="C3" s="1" t="s">
        <v>326</v>
      </c>
      <c r="D3" s="74" t="s">
        <v>50</v>
      </c>
      <c r="E3" s="74" t="s">
        <v>43</v>
      </c>
      <c r="F3" s="2" t="s">
        <v>116</v>
      </c>
      <c r="G3" s="74" t="s">
        <v>117</v>
      </c>
      <c r="H3" s="74" t="s">
        <v>113</v>
      </c>
      <c r="I3" s="74" t="s">
        <v>114</v>
      </c>
      <c r="J3" s="70">
        <v>45300</v>
      </c>
      <c r="K3" s="74" t="s">
        <v>57</v>
      </c>
      <c r="L3" s="74" t="s">
        <v>38</v>
      </c>
      <c r="M3"/>
      <c r="N3" s="2">
        <f>IF(ISBLANK(Calculate_Business_Metadata[[#This Row],[Business Attribute Name]])=TRUE, 0, 1)</f>
        <v>1</v>
      </c>
      <c r="O3" s="2">
        <f>IF(ISBLANK(Calculate_Business_Metadata[[#This Row],[Business Definition (EN)]])=TRUE, 0, 1)</f>
        <v>1</v>
      </c>
      <c r="P3" s="2">
        <f>IF(ISBLANK(Calculate_Business_Metadata[[#This Row],[Column Name]])=TRUE, 0, 1)</f>
        <v>1</v>
      </c>
      <c r="Q3" s="2">
        <f>IF(ISBLANK(Calculate_Business_Metadata[[#This Row],[PII/Non-PII]])=TRUE, 0, 1)</f>
        <v>1</v>
      </c>
      <c r="R3" s="2" t="b">
        <f>ISERROR(FIND("-", Calculate_Business_Metadata[[#This Row],[List of Allowable Values]]))</f>
        <v>1</v>
      </c>
      <c r="S3" s="2" t="b">
        <f>ISERROR(FIND("Flag",Calculate_Business_Metadata[[#This Row],[List of Allowable Values]], 1))</f>
        <v>1</v>
      </c>
      <c r="T3" s="2" t="b">
        <f>ISERROR(FIND("In this case, the list of allowable values can be contact",Calculate_Business_Metadata[[#This Row],[List of Allowable Values]], 1))</f>
        <v>1</v>
      </c>
      <c r="U3" s="2" t="b">
        <f>ISERROR(FIND("In this case, the list of allowable values can be found",Calculate_Business_Metadata[[#This Row],[List of Allowable Values]], 1))</f>
        <v>1</v>
      </c>
      <c r="V3" s="2" t="b">
        <f>ISERROR(FIND("list of allowable values",Calculate_Business_Metadata[[#This Row],[List of Allowable Values]], 1))</f>
        <v>1</v>
      </c>
      <c r="W3" s="2">
        <f t="shared" ref="W3:W31" si="0">IF(OR(R3=TRUE,S3=FALSE, T3=FALSE,U3=FALSE)=TRUE, 1,
IF(AND(R3=FALSE,S3=TRUE)=TRUE, 1, 0))</f>
        <v>1</v>
      </c>
      <c r="X3" s="2">
        <f>IF(ISBLANK(Calculate_Business_Metadata[[#This Row],[Sample Data]])=TRUE, 0, 1)</f>
        <v>1</v>
      </c>
      <c r="Y3" s="2">
        <f>IF(ISBLANK(Calculate_Business_Metadata[[#This Row],[Business Data Steward]])=TRUE, 0, 1)</f>
        <v>1</v>
      </c>
      <c r="Z3" s="2">
        <f>IF(ISBLANK(Calculate_Business_Metadata[[#This Row],[Data Owner]])=TRUE, 0, 1)</f>
        <v>1</v>
      </c>
      <c r="AA3" s="2">
        <f>IF(ISBLANK(Calculate_Business_Metadata[[#This Row],[Updated Date]])=TRUE, 0, 1)</f>
        <v>1</v>
      </c>
      <c r="AB3" s="2">
        <f>IF(ISBLANK(Calculate_Business_Metadata[[#This Row],[Updated By]])=TRUE, 0, 1)</f>
        <v>1</v>
      </c>
      <c r="AD3" s="2">
        <f>IF(OR(
ISERROR(FIND("  ",Calculate_Business_Metadata[[#This Row],[Business Attribute Name]], 1))=FALSE,
ISERROR(FIND("_",Calculate_Business_Metadata[[#This Row],[Business Attribute Name]], 1))=FALSE)=TRUE, 0, 1)</f>
        <v>1</v>
      </c>
      <c r="AE3" s="2">
        <f>IF(OR(
ISERROR(FIND("  ",Calculate_Business_Metadata[[#This Row],[Business Definition (EN)]], 1))=FALSE,
ISERROR(FIND("__",Calculate_Business_Metadata[[#This Row],[Business Definition (EN)]], 1))=FALSE)=TRUE, 0, 1)</f>
        <v>1</v>
      </c>
      <c r="AF3" s="2">
        <f>IF(OR(
ISERROR(FIND("  ",Calculate_Business_Metadata[[#This Row],[Column Name]], 1))=FALSE,
ISERROR(FIND("__",Calculate_Business_Metadata[[#This Row],[Column Name]], 1))=FALSE)=TRUE, 0, 1)</f>
        <v>1</v>
      </c>
      <c r="AG3" s="2">
        <f>IF(OR(
ISERROR(FIND("  ",Calculate_Business_Metadata[[#This Row],[Business Data Steward]], 1))=FALSE,
ISERROR(FIND("_",Calculate_Business_Metadata[[#This Row],[Business Data Steward]], 1))=FALSE)=TRUE, 0, 1)</f>
        <v>1</v>
      </c>
      <c r="AH3" s="2">
        <f>IF(OR(
ISERROR(FIND("  ",Calculate_Business_Metadata[[#This Row],[Data Owner]], 1))=FALSE,
ISERROR(FIND("_",Calculate_Business_Metadata[[#This Row],[Data Owner]], 1))=FALSE)=TRUE, 0, 1)</f>
        <v>1</v>
      </c>
      <c r="AI3" s="2">
        <f>IF(OR(
ISERROR(FIND("  ",Calculate_Business_Metadata[[#This Row],[Updated By]], 1))=FALSE,
ISERROR(FIND("_",Calculate_Business_Metadata[[#This Row],[Updated By]], 1))=FALSE)=TRUE, 0, 1)</f>
        <v>1</v>
      </c>
      <c r="AK3" s="2">
        <f>IF(OR(ISERROR(FIND("PII",Calculate_Business_Metadata[[#This Row],[PII/Non-PII]], 1))=FALSE, ISERROR(FIND("PII",Calculate_Business_Metadata[[#This Row],[PII/Non-PII]], 1))=FALSE)=TRUE, 1, 0)</f>
        <v>1</v>
      </c>
      <c r="AM3" s="2">
        <f>IF( COUNTIFS(B:B, Calculate_Business_Metadata[[#This Row],[Business Attribute Name]], D:D, Calculate_Business_Metadata[[#This Row],[Column Name]], L:L, Calculate_Business_Metadata[[#This Row],[Subdomain]]) &gt; 1, 0, 1)</f>
        <v>1</v>
      </c>
      <c r="AN3" s="2" t="str">
        <f>LEFT(Calculate_Business_Metadata[[#This Row],[Business Definition (EN)]], 150)</f>
        <v>The passport country code represents the name of the country from which the passport was issued (only in the case of PASSPORT).
It is stored as a 2-di</v>
      </c>
      <c r="AO3" s="2">
        <f ca="1">IF( COUNTIFS(AO:AO,AN3, B:B, Calculate_Business_Metadata[[#This Row],[Business Attribute Name]],L:L, Calculate_Business_Metadata[[#This Row],[Subdomain]]) &lt;&gt; 1, 0, 1)</f>
        <v>0</v>
      </c>
      <c r="AP3" s="2">
        <f>IF(COUNTIFS(B:B, Calculate_Business_Metadata[[#This Row],[Business Attribute Name]], D:D, Calculate_Business_Metadata[[#This Row],[Column Name]], AN:AN, AN3) &gt;1, 0, 1)</f>
        <v>1</v>
      </c>
      <c r="AR3" s="2">
        <f>IF(COUNTIFS('Cal_Technical - Column'!D:D, Calculate_Business_Metadata[[#This Row],[Column Name]])&gt; 0, 1, 0)</f>
        <v>1</v>
      </c>
    </row>
    <row r="4" spans="1:44" ht="182" x14ac:dyDescent="0.3">
      <c r="A4" s="74">
        <v>3</v>
      </c>
      <c r="B4" s="74" t="s">
        <v>118</v>
      </c>
      <c r="C4" s="1" t="s">
        <v>119</v>
      </c>
      <c r="D4" s="74" t="s">
        <v>53</v>
      </c>
      <c r="E4" s="74" t="s">
        <v>54</v>
      </c>
      <c r="F4" s="2" t="s">
        <v>47</v>
      </c>
      <c r="G4" s="74" t="s">
        <v>120</v>
      </c>
      <c r="H4" s="74" t="s">
        <v>113</v>
      </c>
      <c r="I4" s="74" t="s">
        <v>114</v>
      </c>
      <c r="J4" s="70">
        <v>45264</v>
      </c>
      <c r="K4" s="74" t="s">
        <v>57</v>
      </c>
      <c r="L4" s="74" t="s">
        <v>38</v>
      </c>
      <c r="M4"/>
      <c r="N4" s="2">
        <f>IF(ISBLANK(Calculate_Business_Metadata[[#This Row],[Business Attribute Name]])=TRUE, 0, 1)</f>
        <v>1</v>
      </c>
      <c r="O4" s="2">
        <f>IF(ISBLANK(Calculate_Business_Metadata[[#This Row],[Business Definition (EN)]])=TRUE, 0, 1)</f>
        <v>1</v>
      </c>
      <c r="P4" s="2">
        <f>IF(ISBLANK(Calculate_Business_Metadata[[#This Row],[Column Name]])=TRUE, 0, 1)</f>
        <v>1</v>
      </c>
      <c r="Q4" s="2">
        <f>IF(ISBLANK(Calculate_Business_Metadata[[#This Row],[PII/Non-PII]])=TRUE, 0, 1)</f>
        <v>1</v>
      </c>
      <c r="R4" s="2" t="b">
        <f>ISERROR(FIND("-", Calculate_Business_Metadata[[#This Row],[List of Allowable Values]]))</f>
        <v>0</v>
      </c>
      <c r="S4" s="2" t="b">
        <f>ISERROR(FIND("Flag",Calculate_Business_Metadata[[#This Row],[List of Allowable Values]], 1))</f>
        <v>1</v>
      </c>
      <c r="T4" s="2" t="b">
        <f>ISERROR(FIND("In this case, the list of allowable values can be contact",Calculate_Business_Metadata[[#This Row],[List of Allowable Values]], 1))</f>
        <v>1</v>
      </c>
      <c r="U4" s="2" t="b">
        <f>ISERROR(FIND("In this case, the list of allowable values can be found",Calculate_Business_Metadata[[#This Row],[List of Allowable Values]], 1))</f>
        <v>1</v>
      </c>
      <c r="V4" s="2" t="b">
        <f>ISERROR(FIND("list of allowable values",Calculate_Business_Metadata[[#This Row],[List of Allowable Values]], 1))</f>
        <v>1</v>
      </c>
      <c r="W4" s="2">
        <f t="shared" si="0"/>
        <v>1</v>
      </c>
      <c r="X4" s="2">
        <f>IF(ISBLANK(Calculate_Business_Metadata[[#This Row],[Sample Data]])=TRUE, 0, 1)</f>
        <v>1</v>
      </c>
      <c r="Y4" s="2">
        <f>IF(ISBLANK(Calculate_Business_Metadata[[#This Row],[Business Data Steward]])=TRUE, 0, 1)</f>
        <v>1</v>
      </c>
      <c r="Z4" s="2">
        <f>IF(ISBLANK(Calculate_Business_Metadata[[#This Row],[Data Owner]])=TRUE, 0, 1)</f>
        <v>1</v>
      </c>
      <c r="AA4" s="2">
        <f>IF(ISBLANK(Calculate_Business_Metadata[[#This Row],[Updated Date]])=TRUE, 0, 1)</f>
        <v>1</v>
      </c>
      <c r="AB4" s="2">
        <f>IF(ISBLANK(Calculate_Business_Metadata[[#This Row],[Updated By]])=TRUE, 0, 1)</f>
        <v>1</v>
      </c>
      <c r="AD4" s="2">
        <f>IF(OR(
ISERROR(FIND("  ",Calculate_Business_Metadata[[#This Row],[Business Attribute Name]], 1))=FALSE,
ISERROR(FIND("_",Calculate_Business_Metadata[[#This Row],[Business Attribute Name]], 1))=FALSE)=TRUE, 0, 1)</f>
        <v>1</v>
      </c>
      <c r="AE4" s="2">
        <f>IF(OR(
ISERROR(FIND("  ",Calculate_Business_Metadata[[#This Row],[Business Definition (EN)]], 1))=FALSE,
ISERROR(FIND("__",Calculate_Business_Metadata[[#This Row],[Business Definition (EN)]], 1))=FALSE)=TRUE, 0, 1)</f>
        <v>1</v>
      </c>
      <c r="AF4" s="2">
        <f>IF(OR(
ISERROR(FIND("  ",Calculate_Business_Metadata[[#This Row],[Column Name]], 1))=FALSE,
ISERROR(FIND("__",Calculate_Business_Metadata[[#This Row],[Column Name]], 1))=FALSE)=TRUE, 0, 1)</f>
        <v>1</v>
      </c>
      <c r="AG4" s="2">
        <f>IF(OR(
ISERROR(FIND("  ",Calculate_Business_Metadata[[#This Row],[Business Data Steward]], 1))=FALSE,
ISERROR(FIND("_",Calculate_Business_Metadata[[#This Row],[Business Data Steward]], 1))=FALSE)=TRUE, 0, 1)</f>
        <v>1</v>
      </c>
      <c r="AH4" s="2">
        <f>IF(OR(
ISERROR(FIND("  ",Calculate_Business_Metadata[[#This Row],[Data Owner]], 1))=FALSE,
ISERROR(FIND("_",Calculate_Business_Metadata[[#This Row],[Data Owner]], 1))=FALSE)=TRUE, 0, 1)</f>
        <v>1</v>
      </c>
      <c r="AI4" s="2">
        <f>IF(OR(
ISERROR(FIND("  ",Calculate_Business_Metadata[[#This Row],[Updated By]], 1))=FALSE,
ISERROR(FIND("_",Calculate_Business_Metadata[[#This Row],[Updated By]], 1))=FALSE)=TRUE, 0, 1)</f>
        <v>1</v>
      </c>
      <c r="AK4" s="2">
        <f>IF(OR(ISERROR(FIND("PII",Calculate_Business_Metadata[[#This Row],[PII/Non-PII]], 1))=FALSE, ISERROR(FIND("PII",Calculate_Business_Metadata[[#This Row],[PII/Non-PII]], 1))=FALSE)=TRUE, 1, 0)</f>
        <v>1</v>
      </c>
      <c r="AM4" s="2">
        <f>IF( COUNTIFS(B:B, Calculate_Business_Metadata[[#This Row],[Business Attribute Name]], D:D, Calculate_Business_Metadata[[#This Row],[Column Name]], L:L, Calculate_Business_Metadata[[#This Row],[Subdomain]]) &gt; 1, 0, 1)</f>
        <v>1</v>
      </c>
      <c r="AN4" s="2" t="str">
        <f>LEFT(Calculate_Business_Metadata[[#This Row],[Business Definition (EN)]], 150)</f>
        <v>Identification Number from the card the customer uses to open the account It can be a Thai ID card, passport No, or Alien identification card. This de</v>
      </c>
      <c r="AO4" s="2">
        <f ca="1">IF( COUNTIFS(AO:AO,AN4, B:B, Calculate_Business_Metadata[[#This Row],[Business Attribute Name]],L:L, Calculate_Business_Metadata[[#This Row],[Subdomain]]) &lt;&gt; 1, 0, 1)</f>
        <v>0</v>
      </c>
      <c r="AP4" s="2">
        <f>IF(COUNTIFS(B:B, Calculate_Business_Metadata[[#This Row],[Business Attribute Name]], D:D, Calculate_Business_Metadata[[#This Row],[Column Name]], AN:AN, AN4) &gt;1, 0, 1)</f>
        <v>1</v>
      </c>
      <c r="AR4" s="2">
        <f>IF(COUNTIFS('Cal_Technical - Column'!D:D, Calculate_Business_Metadata[[#This Row],[Column Name]])&gt; 0, 1, 0)</f>
        <v>1</v>
      </c>
    </row>
    <row r="5" spans="1:44" ht="336" x14ac:dyDescent="0.3">
      <c r="A5" s="74">
        <v>4</v>
      </c>
      <c r="B5" s="74" t="s">
        <v>121</v>
      </c>
      <c r="C5" s="1" t="s">
        <v>122</v>
      </c>
      <c r="D5" s="74" t="s">
        <v>58</v>
      </c>
      <c r="E5" s="74" t="s">
        <v>43</v>
      </c>
      <c r="F5" s="2" t="s">
        <v>47</v>
      </c>
      <c r="G5" s="74" t="s">
        <v>123</v>
      </c>
      <c r="H5" s="74" t="s">
        <v>113</v>
      </c>
      <c r="I5" s="74" t="s">
        <v>114</v>
      </c>
      <c r="J5" s="70">
        <v>45264</v>
      </c>
      <c r="K5" s="74" t="s">
        <v>57</v>
      </c>
      <c r="L5" s="74" t="s">
        <v>38</v>
      </c>
      <c r="M5"/>
      <c r="N5" s="2">
        <f>IF(ISBLANK(Calculate_Business_Metadata[[#This Row],[Business Attribute Name]])=TRUE, 0, 1)</f>
        <v>1</v>
      </c>
      <c r="O5" s="2">
        <f>IF(ISBLANK(Calculate_Business_Metadata[[#This Row],[Business Definition (EN)]])=TRUE, 0, 1)</f>
        <v>1</v>
      </c>
      <c r="P5" s="2">
        <f>IF(ISBLANK(Calculate_Business_Metadata[[#This Row],[Column Name]])=TRUE, 0, 1)</f>
        <v>1</v>
      </c>
      <c r="Q5" s="2">
        <f>IF(ISBLANK(Calculate_Business_Metadata[[#This Row],[PII/Non-PII]])=TRUE, 0, 1)</f>
        <v>1</v>
      </c>
      <c r="R5" s="2" t="b">
        <f>ISERROR(FIND("-", Calculate_Business_Metadata[[#This Row],[List of Allowable Values]]))</f>
        <v>0</v>
      </c>
      <c r="S5" s="2" t="b">
        <f>ISERROR(FIND("Flag",Calculate_Business_Metadata[[#This Row],[List of Allowable Values]], 1))</f>
        <v>1</v>
      </c>
      <c r="T5" s="2" t="b">
        <f>ISERROR(FIND("In this case, the list of allowable values can be contact",Calculate_Business_Metadata[[#This Row],[List of Allowable Values]], 1))</f>
        <v>1</v>
      </c>
      <c r="U5" s="2" t="b">
        <f>ISERROR(FIND("In this case, the list of allowable values can be found",Calculate_Business_Metadata[[#This Row],[List of Allowable Values]], 1))</f>
        <v>1</v>
      </c>
      <c r="V5" s="2" t="b">
        <f>ISERROR(FIND("list of allowable values",Calculate_Business_Metadata[[#This Row],[List of Allowable Values]], 1))</f>
        <v>1</v>
      </c>
      <c r="W5" s="2">
        <f t="shared" si="0"/>
        <v>1</v>
      </c>
      <c r="X5" s="2">
        <f>IF(ISBLANK(Calculate_Business_Metadata[[#This Row],[Sample Data]])=TRUE, 0, 1)</f>
        <v>1</v>
      </c>
      <c r="Y5" s="2">
        <f>IF(ISBLANK(Calculate_Business_Metadata[[#This Row],[Business Data Steward]])=TRUE, 0, 1)</f>
        <v>1</v>
      </c>
      <c r="Z5" s="2">
        <f>IF(ISBLANK(Calculate_Business_Metadata[[#This Row],[Data Owner]])=TRUE, 0, 1)</f>
        <v>1</v>
      </c>
      <c r="AA5" s="2">
        <f>IF(ISBLANK(Calculate_Business_Metadata[[#This Row],[Updated Date]])=TRUE, 0, 1)</f>
        <v>1</v>
      </c>
      <c r="AB5" s="2">
        <f>IF(ISBLANK(Calculate_Business_Metadata[[#This Row],[Updated By]])=TRUE, 0, 1)</f>
        <v>1</v>
      </c>
      <c r="AD5" s="2">
        <f>IF(OR(
ISERROR(FIND("  ",Calculate_Business_Metadata[[#This Row],[Business Attribute Name]], 1))=FALSE,
ISERROR(FIND("_",Calculate_Business_Metadata[[#This Row],[Business Attribute Name]], 1))=FALSE)=TRUE, 0, 1)</f>
        <v>1</v>
      </c>
      <c r="AE5" s="2">
        <f>IF(OR(
ISERROR(FIND("  ",Calculate_Business_Metadata[[#This Row],[Business Definition (EN)]], 1))=FALSE,
ISERROR(FIND("__",Calculate_Business_Metadata[[#This Row],[Business Definition (EN)]], 1))=FALSE)=TRUE, 0, 1)</f>
        <v>1</v>
      </c>
      <c r="AF5" s="2">
        <f>IF(OR(
ISERROR(FIND("  ",Calculate_Business_Metadata[[#This Row],[Column Name]], 1))=FALSE,
ISERROR(FIND("__",Calculate_Business_Metadata[[#This Row],[Column Name]], 1))=FALSE)=TRUE, 0, 1)</f>
        <v>1</v>
      </c>
      <c r="AG5" s="2">
        <f>IF(OR(
ISERROR(FIND("  ",Calculate_Business_Metadata[[#This Row],[Business Data Steward]], 1))=FALSE,
ISERROR(FIND("_",Calculate_Business_Metadata[[#This Row],[Business Data Steward]], 1))=FALSE)=TRUE, 0, 1)</f>
        <v>1</v>
      </c>
      <c r="AH5" s="2">
        <f>IF(OR(
ISERROR(FIND("  ",Calculate_Business_Metadata[[#This Row],[Data Owner]], 1))=FALSE,
ISERROR(FIND("_",Calculate_Business_Metadata[[#This Row],[Data Owner]], 1))=FALSE)=TRUE, 0, 1)</f>
        <v>1</v>
      </c>
      <c r="AI5" s="2">
        <f>IF(OR(
ISERROR(FIND("  ",Calculate_Business_Metadata[[#This Row],[Updated By]], 1))=FALSE,
ISERROR(FIND("_",Calculate_Business_Metadata[[#This Row],[Updated By]], 1))=FALSE)=TRUE, 0, 1)</f>
        <v>1</v>
      </c>
      <c r="AK5" s="2">
        <f>IF(OR(ISERROR(FIND("PII",Calculate_Business_Metadata[[#This Row],[PII/Non-PII]], 1))=FALSE, ISERROR(FIND("PII",Calculate_Business_Metadata[[#This Row],[PII/Non-PII]], 1))=FALSE)=TRUE, 1, 0)</f>
        <v>1</v>
      </c>
      <c r="AM5" s="2">
        <f>IF( COUNTIFS(B:B, Calculate_Business_Metadata[[#This Row],[Business Attribute Name]], D:D, Calculate_Business_Metadata[[#This Row],[Column Name]], L:L, Calculate_Business_Metadata[[#This Row],[Subdomain]]) &gt; 1, 0, 1)</f>
        <v>1</v>
      </c>
      <c r="AN5" s="2" t="str">
        <f>LEFT(Calculate_Business_Metadata[[#This Row],[Business Definition (EN)]], 150)</f>
        <v>Card expiration date means the date printed on the identification card used by the customer as evidence for opening an account. which indicates the ex</v>
      </c>
      <c r="AO5" s="2">
        <f ca="1">IF( COUNTIFS(AO:AO,AN5, B:B, Calculate_Business_Metadata[[#This Row],[Business Attribute Name]],L:L, Calculate_Business_Metadata[[#This Row],[Subdomain]]) &lt;&gt; 1, 0, 1)</f>
        <v>0</v>
      </c>
      <c r="AP5" s="2">
        <f>IF(COUNTIFS(B:B, Calculate_Business_Metadata[[#This Row],[Business Attribute Name]], D:D, Calculate_Business_Metadata[[#This Row],[Column Name]], AN:AN, AN5) &gt;1, 0, 1)</f>
        <v>1</v>
      </c>
      <c r="AR5" s="2">
        <f>IF(COUNTIFS('Cal_Technical - Column'!D:D, Calculate_Business_Metadata[[#This Row],[Column Name]])&gt; 0, 1, 0)</f>
        <v>1</v>
      </c>
    </row>
    <row r="6" spans="1:44" ht="168" x14ac:dyDescent="0.3">
      <c r="A6" s="74">
        <v>5</v>
      </c>
      <c r="B6" s="74" t="s">
        <v>124</v>
      </c>
      <c r="C6" s="1" t="s">
        <v>125</v>
      </c>
      <c r="D6" s="74" t="s">
        <v>61</v>
      </c>
      <c r="E6" s="74" t="s">
        <v>43</v>
      </c>
      <c r="F6" s="2" t="s">
        <v>47</v>
      </c>
      <c r="G6" s="74" t="s">
        <v>126</v>
      </c>
      <c r="H6" s="74" t="s">
        <v>113</v>
      </c>
      <c r="I6" s="74" t="s">
        <v>114</v>
      </c>
      <c r="J6" s="70">
        <v>45300</v>
      </c>
      <c r="K6" s="74" t="s">
        <v>57</v>
      </c>
      <c r="L6" s="74" t="s">
        <v>38</v>
      </c>
      <c r="M6"/>
      <c r="N6" s="2">
        <f>IF(ISBLANK(Calculate_Business_Metadata[[#This Row],[Business Attribute Name]])=TRUE, 0, 1)</f>
        <v>1</v>
      </c>
      <c r="O6" s="2">
        <f>IF(ISBLANK(Calculate_Business_Metadata[[#This Row],[Business Definition (EN)]])=TRUE, 0, 1)</f>
        <v>1</v>
      </c>
      <c r="P6" s="2">
        <f>IF(ISBLANK(Calculate_Business_Metadata[[#This Row],[Column Name]])=TRUE, 0, 1)</f>
        <v>1</v>
      </c>
      <c r="Q6" s="2">
        <f>IF(ISBLANK(Calculate_Business_Metadata[[#This Row],[PII/Non-PII]])=TRUE, 0, 1)</f>
        <v>1</v>
      </c>
      <c r="R6" s="2" t="b">
        <f>ISERROR(FIND("-", Calculate_Business_Metadata[[#This Row],[List of Allowable Values]]))</f>
        <v>0</v>
      </c>
      <c r="S6" s="2" t="b">
        <f>ISERROR(FIND("Flag",Calculate_Business_Metadata[[#This Row],[List of Allowable Values]], 1))</f>
        <v>1</v>
      </c>
      <c r="T6" s="2" t="b">
        <f>ISERROR(FIND("In this case, the list of allowable values can be contact",Calculate_Business_Metadata[[#This Row],[List of Allowable Values]], 1))</f>
        <v>1</v>
      </c>
      <c r="U6" s="2" t="b">
        <f>ISERROR(FIND("In this case, the list of allowable values can be found",Calculate_Business_Metadata[[#This Row],[List of Allowable Values]], 1))</f>
        <v>1</v>
      </c>
      <c r="V6" s="2" t="b">
        <f>ISERROR(FIND("list of allowable values",Calculate_Business_Metadata[[#This Row],[List of Allowable Values]], 1))</f>
        <v>1</v>
      </c>
      <c r="W6" s="2">
        <f t="shared" si="0"/>
        <v>1</v>
      </c>
      <c r="X6" s="2">
        <f>IF(ISBLANK(Calculate_Business_Metadata[[#This Row],[Sample Data]])=TRUE, 0, 1)</f>
        <v>1</v>
      </c>
      <c r="Y6" s="2">
        <f>IF(ISBLANK(Calculate_Business_Metadata[[#This Row],[Business Data Steward]])=TRUE, 0, 1)</f>
        <v>1</v>
      </c>
      <c r="Z6" s="2">
        <f>IF(ISBLANK(Calculate_Business_Metadata[[#This Row],[Data Owner]])=TRUE, 0, 1)</f>
        <v>1</v>
      </c>
      <c r="AA6" s="2">
        <f>IF(ISBLANK(Calculate_Business_Metadata[[#This Row],[Updated Date]])=TRUE, 0, 1)</f>
        <v>1</v>
      </c>
      <c r="AB6" s="2">
        <f>IF(ISBLANK(Calculate_Business_Metadata[[#This Row],[Updated By]])=TRUE, 0, 1)</f>
        <v>1</v>
      </c>
      <c r="AD6" s="2">
        <f>IF(OR(
ISERROR(FIND("  ",Calculate_Business_Metadata[[#This Row],[Business Attribute Name]], 1))=FALSE,
ISERROR(FIND("_",Calculate_Business_Metadata[[#This Row],[Business Attribute Name]], 1))=FALSE)=TRUE, 0, 1)</f>
        <v>1</v>
      </c>
      <c r="AE6" s="2">
        <f>IF(OR(
ISERROR(FIND("  ",Calculate_Business_Metadata[[#This Row],[Business Definition (EN)]], 1))=FALSE,
ISERROR(FIND("__",Calculate_Business_Metadata[[#This Row],[Business Definition (EN)]], 1))=FALSE)=TRUE, 0, 1)</f>
        <v>1</v>
      </c>
      <c r="AF6" s="2">
        <f>IF(OR(
ISERROR(FIND("  ",Calculate_Business_Metadata[[#This Row],[Column Name]], 1))=FALSE,
ISERROR(FIND("__",Calculate_Business_Metadata[[#This Row],[Column Name]], 1))=FALSE)=TRUE, 0, 1)</f>
        <v>1</v>
      </c>
      <c r="AG6" s="2">
        <f>IF(OR(
ISERROR(FIND("  ",Calculate_Business_Metadata[[#This Row],[Business Data Steward]], 1))=FALSE,
ISERROR(FIND("_",Calculate_Business_Metadata[[#This Row],[Business Data Steward]], 1))=FALSE)=TRUE, 0, 1)</f>
        <v>1</v>
      </c>
      <c r="AH6" s="2">
        <f>IF(OR(
ISERROR(FIND("  ",Calculate_Business_Metadata[[#This Row],[Data Owner]], 1))=FALSE,
ISERROR(FIND("_",Calculate_Business_Metadata[[#This Row],[Data Owner]], 1))=FALSE)=TRUE, 0, 1)</f>
        <v>1</v>
      </c>
      <c r="AI6" s="2">
        <f>IF(OR(
ISERROR(FIND("  ",Calculate_Business_Metadata[[#This Row],[Updated By]], 1))=FALSE,
ISERROR(FIND("_",Calculate_Business_Metadata[[#This Row],[Updated By]], 1))=FALSE)=TRUE, 0, 1)</f>
        <v>1</v>
      </c>
      <c r="AK6" s="2">
        <f>IF(OR(ISERROR(FIND("PII",Calculate_Business_Metadata[[#This Row],[PII/Non-PII]], 1))=FALSE, ISERROR(FIND("PII",Calculate_Business_Metadata[[#This Row],[PII/Non-PII]], 1))=FALSE)=TRUE, 1, 0)</f>
        <v>1</v>
      </c>
      <c r="AM6" s="2">
        <f>IF( COUNTIFS(B:B, Calculate_Business_Metadata[[#This Row],[Business Attribute Name]], D:D, Calculate_Business_Metadata[[#This Row],[Column Name]], L:L, Calculate_Business_Metadata[[#This Row],[Subdomain]]) &gt; 1, 0, 1)</f>
        <v>1</v>
      </c>
      <c r="AN6" s="2" t="str">
        <f>LEFT(Calculate_Business_Metadata[[#This Row],[Business Definition (EN)]], 150)</f>
        <v>Gender Code represents the code used to identify the gender of the customer.
Current list of allowable values includes: 
M = Male
F = Female
O = Othe</v>
      </c>
      <c r="AO6" s="2">
        <f ca="1">IF( COUNTIFS(AO:AO,AN6, B:B, Calculate_Business_Metadata[[#This Row],[Business Attribute Name]],L:L, Calculate_Business_Metadata[[#This Row],[Subdomain]]) &lt;&gt; 1, 0, 1)</f>
        <v>0</v>
      </c>
      <c r="AP6" s="2">
        <f>IF(COUNTIFS(B:B, Calculate_Business_Metadata[[#This Row],[Business Attribute Name]], D:D, Calculate_Business_Metadata[[#This Row],[Column Name]], AN:AN, AN6) &gt;1, 0, 1)</f>
        <v>1</v>
      </c>
      <c r="AR6" s="2">
        <f>IF(COUNTIFS('Cal_Technical - Column'!D:D, Calculate_Business_Metadata[[#This Row],[Column Name]])&gt; 0, 1, 0)</f>
        <v>1</v>
      </c>
    </row>
    <row r="7" spans="1:44" ht="70" x14ac:dyDescent="0.3">
      <c r="A7" s="74">
        <v>6</v>
      </c>
      <c r="B7" s="74" t="s">
        <v>127</v>
      </c>
      <c r="C7" s="1" t="s">
        <v>128</v>
      </c>
      <c r="D7" s="74" t="s">
        <v>63</v>
      </c>
      <c r="E7" s="74" t="s">
        <v>54</v>
      </c>
      <c r="F7" s="2" t="s">
        <v>47</v>
      </c>
      <c r="G7" s="74" t="s">
        <v>129</v>
      </c>
      <c r="H7" s="74" t="s">
        <v>113</v>
      </c>
      <c r="I7" s="74" t="s">
        <v>114</v>
      </c>
      <c r="J7" s="70">
        <v>45264</v>
      </c>
      <c r="K7" s="74" t="s">
        <v>57</v>
      </c>
      <c r="L7" s="74" t="s">
        <v>38</v>
      </c>
      <c r="M7"/>
      <c r="N7" s="2">
        <f>IF(ISBLANK(Calculate_Business_Metadata[[#This Row],[Business Attribute Name]])=TRUE, 0, 1)</f>
        <v>1</v>
      </c>
      <c r="O7" s="2">
        <f>IF(ISBLANK(Calculate_Business_Metadata[[#This Row],[Business Definition (EN)]])=TRUE, 0, 1)</f>
        <v>1</v>
      </c>
      <c r="P7" s="2">
        <f>IF(ISBLANK(Calculate_Business_Metadata[[#This Row],[Column Name]])=TRUE, 0, 1)</f>
        <v>1</v>
      </c>
      <c r="Q7" s="2">
        <f>IF(ISBLANK(Calculate_Business_Metadata[[#This Row],[PII/Non-PII]])=TRUE, 0, 1)</f>
        <v>1</v>
      </c>
      <c r="R7" s="2" t="b">
        <f>ISERROR(FIND("-", Calculate_Business_Metadata[[#This Row],[List of Allowable Values]]))</f>
        <v>0</v>
      </c>
      <c r="S7" s="2" t="b">
        <f>ISERROR(FIND("Flag",Calculate_Business_Metadata[[#This Row],[List of Allowable Values]], 1))</f>
        <v>1</v>
      </c>
      <c r="T7" s="2" t="b">
        <f>ISERROR(FIND("In this case, the list of allowable values can be contact",Calculate_Business_Metadata[[#This Row],[List of Allowable Values]], 1))</f>
        <v>1</v>
      </c>
      <c r="U7" s="2" t="b">
        <f>ISERROR(FIND("In this case, the list of allowable values can be found",Calculate_Business_Metadata[[#This Row],[List of Allowable Values]], 1))</f>
        <v>1</v>
      </c>
      <c r="V7" s="2" t="b">
        <f>ISERROR(FIND("list of allowable values",Calculate_Business_Metadata[[#This Row],[List of Allowable Values]], 1))</f>
        <v>1</v>
      </c>
      <c r="W7" s="2">
        <f t="shared" si="0"/>
        <v>1</v>
      </c>
      <c r="X7" s="2">
        <f>IF(ISBLANK(Calculate_Business_Metadata[[#This Row],[Sample Data]])=TRUE, 0, 1)</f>
        <v>1</v>
      </c>
      <c r="Y7" s="2">
        <f>IF(ISBLANK(Calculate_Business_Metadata[[#This Row],[Business Data Steward]])=TRUE, 0, 1)</f>
        <v>1</v>
      </c>
      <c r="Z7" s="2">
        <f>IF(ISBLANK(Calculate_Business_Metadata[[#This Row],[Data Owner]])=TRUE, 0, 1)</f>
        <v>1</v>
      </c>
      <c r="AA7" s="2">
        <f>IF(ISBLANK(Calculate_Business_Metadata[[#This Row],[Updated Date]])=TRUE, 0, 1)</f>
        <v>1</v>
      </c>
      <c r="AB7" s="2">
        <f>IF(ISBLANK(Calculate_Business_Metadata[[#This Row],[Updated By]])=TRUE, 0, 1)</f>
        <v>1</v>
      </c>
      <c r="AD7" s="2">
        <f>IF(OR(
ISERROR(FIND("  ",Calculate_Business_Metadata[[#This Row],[Business Attribute Name]], 1))=FALSE,
ISERROR(FIND("_",Calculate_Business_Metadata[[#This Row],[Business Attribute Name]], 1))=FALSE)=TRUE, 0, 1)</f>
        <v>1</v>
      </c>
      <c r="AE7" s="2">
        <f>IF(OR(
ISERROR(FIND("  ",Calculate_Business_Metadata[[#This Row],[Business Definition (EN)]], 1))=FALSE,
ISERROR(FIND("__",Calculate_Business_Metadata[[#This Row],[Business Definition (EN)]], 1))=FALSE)=TRUE, 0, 1)</f>
        <v>1</v>
      </c>
      <c r="AF7" s="2">
        <f>IF(OR(
ISERROR(FIND("  ",Calculate_Business_Metadata[[#This Row],[Column Name]], 1))=FALSE,
ISERROR(FIND("__",Calculate_Business_Metadata[[#This Row],[Column Name]], 1))=FALSE)=TRUE, 0, 1)</f>
        <v>1</v>
      </c>
      <c r="AG7" s="2">
        <f>IF(OR(
ISERROR(FIND("  ",Calculate_Business_Metadata[[#This Row],[Business Data Steward]], 1))=FALSE,
ISERROR(FIND("_",Calculate_Business_Metadata[[#This Row],[Business Data Steward]], 1))=FALSE)=TRUE, 0, 1)</f>
        <v>1</v>
      </c>
      <c r="AH7" s="2">
        <f>IF(OR(
ISERROR(FIND("  ",Calculate_Business_Metadata[[#This Row],[Data Owner]], 1))=FALSE,
ISERROR(FIND("_",Calculate_Business_Metadata[[#This Row],[Data Owner]], 1))=FALSE)=TRUE, 0, 1)</f>
        <v>1</v>
      </c>
      <c r="AI7" s="2">
        <f>IF(OR(
ISERROR(FIND("  ",Calculate_Business_Metadata[[#This Row],[Updated By]], 1))=FALSE,
ISERROR(FIND("_",Calculate_Business_Metadata[[#This Row],[Updated By]], 1))=FALSE)=TRUE, 0, 1)</f>
        <v>1</v>
      </c>
      <c r="AK7" s="2">
        <f>IF(OR(ISERROR(FIND("PII",Calculate_Business_Metadata[[#This Row],[PII/Non-PII]], 1))=FALSE, ISERROR(FIND("PII",Calculate_Business_Metadata[[#This Row],[PII/Non-PII]], 1))=FALSE)=TRUE, 1, 0)</f>
        <v>1</v>
      </c>
      <c r="AM7" s="2">
        <f>IF( COUNTIFS(B:B, Calculate_Business_Metadata[[#This Row],[Business Attribute Name]], D:D, Calculate_Business_Metadata[[#This Row],[Column Name]], L:L, Calculate_Business_Metadata[[#This Row],[Subdomain]]) &gt; 1, 0, 1)</f>
        <v>1</v>
      </c>
      <c r="AN7" s="2" t="str">
        <f>LEFT(Calculate_Business_Metadata[[#This Row],[Business Definition (EN)]], 150)</f>
        <v>Birthday means the customer's date of birth. The storage format is YYYY-MM-DD.</v>
      </c>
      <c r="AO7" s="2">
        <f ca="1">IF( COUNTIFS(AO:AO,AN7, B:B, Calculate_Business_Metadata[[#This Row],[Business Attribute Name]],L:L, Calculate_Business_Metadata[[#This Row],[Subdomain]]) &lt;&gt; 1, 0, 1)</f>
        <v>0</v>
      </c>
      <c r="AP7" s="2">
        <f>IF(COUNTIFS(B:B, Calculate_Business_Metadata[[#This Row],[Business Attribute Name]], D:D, Calculate_Business_Metadata[[#This Row],[Column Name]], AN:AN, AN7) &gt;1, 0, 1)</f>
        <v>1</v>
      </c>
      <c r="AR7" s="2">
        <f>IF(COUNTIFS('Cal_Technical - Column'!D:D, Calculate_Business_Metadata[[#This Row],[Column Name]])&gt; 0, 1, 0)</f>
        <v>1</v>
      </c>
    </row>
    <row r="8" spans="1:44" ht="322" x14ac:dyDescent="0.3">
      <c r="A8" s="74">
        <v>7</v>
      </c>
      <c r="B8" s="74" t="s">
        <v>130</v>
      </c>
      <c r="C8" s="1" t="s">
        <v>327</v>
      </c>
      <c r="D8" s="74" t="s">
        <v>64</v>
      </c>
      <c r="E8" s="74" t="s">
        <v>43</v>
      </c>
      <c r="F8" s="2" t="s">
        <v>131</v>
      </c>
      <c r="G8" s="74" t="s">
        <v>132</v>
      </c>
      <c r="H8" s="74" t="s">
        <v>113</v>
      </c>
      <c r="I8" s="74" t="s">
        <v>114</v>
      </c>
      <c r="J8" s="70">
        <v>45264</v>
      </c>
      <c r="K8" s="74" t="s">
        <v>57</v>
      </c>
      <c r="L8" s="74" t="s">
        <v>38</v>
      </c>
      <c r="M8"/>
      <c r="N8" s="2">
        <f>IF(ISBLANK(Calculate_Business_Metadata[[#This Row],[Business Attribute Name]])=TRUE, 0, 1)</f>
        <v>1</v>
      </c>
      <c r="O8" s="2">
        <f>IF(ISBLANK(Calculate_Business_Metadata[[#This Row],[Business Definition (EN)]])=TRUE, 0, 1)</f>
        <v>1</v>
      </c>
      <c r="P8" s="2">
        <f>IF(ISBLANK(Calculate_Business_Metadata[[#This Row],[Column Name]])=TRUE, 0, 1)</f>
        <v>1</v>
      </c>
      <c r="Q8" s="2">
        <f>IF(ISBLANK(Calculate_Business_Metadata[[#This Row],[PII/Non-PII]])=TRUE, 0, 1)</f>
        <v>1</v>
      </c>
      <c r="R8" s="2" t="b">
        <f>ISERROR(FIND("-", Calculate_Business_Metadata[[#This Row],[List of Allowable Values]]))</f>
        <v>1</v>
      </c>
      <c r="S8" s="2" t="b">
        <f>ISERROR(FIND("Flag",Calculate_Business_Metadata[[#This Row],[List of Allowable Values]], 1))</f>
        <v>1</v>
      </c>
      <c r="T8" s="2" t="b">
        <f>ISERROR(FIND("In this case, the list of allowable values can be contact",Calculate_Business_Metadata[[#This Row],[List of Allowable Values]], 1))</f>
        <v>1</v>
      </c>
      <c r="U8" s="2" t="b">
        <f>ISERROR(FIND("In this case, the list of allowable values can be found",Calculate_Business_Metadata[[#This Row],[List of Allowable Values]], 1))</f>
        <v>1</v>
      </c>
      <c r="V8" s="2" t="b">
        <f>ISERROR(FIND("list of allowable values",Calculate_Business_Metadata[[#This Row],[List of Allowable Values]], 1))</f>
        <v>1</v>
      </c>
      <c r="W8" s="2">
        <f t="shared" si="0"/>
        <v>1</v>
      </c>
      <c r="X8" s="2">
        <f>IF(ISBLANK(Calculate_Business_Metadata[[#This Row],[Sample Data]])=TRUE, 0, 1)</f>
        <v>1</v>
      </c>
      <c r="Y8" s="2">
        <f>IF(ISBLANK(Calculate_Business_Metadata[[#This Row],[Business Data Steward]])=TRUE, 0, 1)</f>
        <v>1</v>
      </c>
      <c r="Z8" s="2">
        <f>IF(ISBLANK(Calculate_Business_Metadata[[#This Row],[Data Owner]])=TRUE, 0, 1)</f>
        <v>1</v>
      </c>
      <c r="AA8" s="2">
        <f>IF(ISBLANK(Calculate_Business_Metadata[[#This Row],[Updated Date]])=TRUE, 0, 1)</f>
        <v>1</v>
      </c>
      <c r="AB8" s="2">
        <f>IF(ISBLANK(Calculate_Business_Metadata[[#This Row],[Updated By]])=TRUE, 0, 1)</f>
        <v>1</v>
      </c>
      <c r="AD8" s="2">
        <f>IF(OR(
ISERROR(FIND("  ",Calculate_Business_Metadata[[#This Row],[Business Attribute Name]], 1))=FALSE,
ISERROR(FIND("_",Calculate_Business_Metadata[[#This Row],[Business Attribute Name]], 1))=FALSE)=TRUE, 0, 1)</f>
        <v>1</v>
      </c>
      <c r="AE8" s="2">
        <f>IF(OR(
ISERROR(FIND("  ",Calculate_Business_Metadata[[#This Row],[Business Definition (EN)]], 1))=FALSE,
ISERROR(FIND("__",Calculate_Business_Metadata[[#This Row],[Business Definition (EN)]], 1))=FALSE)=TRUE, 0, 1)</f>
        <v>1</v>
      </c>
      <c r="AF8" s="2">
        <f>IF(OR(
ISERROR(FIND("  ",Calculate_Business_Metadata[[#This Row],[Column Name]], 1))=FALSE,
ISERROR(FIND("__",Calculate_Business_Metadata[[#This Row],[Column Name]], 1))=FALSE)=TRUE, 0, 1)</f>
        <v>1</v>
      </c>
      <c r="AG8" s="2">
        <f>IF(OR(
ISERROR(FIND("  ",Calculate_Business_Metadata[[#This Row],[Business Data Steward]], 1))=FALSE,
ISERROR(FIND("_",Calculate_Business_Metadata[[#This Row],[Business Data Steward]], 1))=FALSE)=TRUE, 0, 1)</f>
        <v>1</v>
      </c>
      <c r="AH8" s="2">
        <f>IF(OR(
ISERROR(FIND("  ",Calculate_Business_Metadata[[#This Row],[Data Owner]], 1))=FALSE,
ISERROR(FIND("_",Calculate_Business_Metadata[[#This Row],[Data Owner]], 1))=FALSE)=TRUE, 0, 1)</f>
        <v>1</v>
      </c>
      <c r="AI8" s="2">
        <f>IF(OR(
ISERROR(FIND("  ",Calculate_Business_Metadata[[#This Row],[Updated By]], 1))=FALSE,
ISERROR(FIND("_",Calculate_Business_Metadata[[#This Row],[Updated By]], 1))=FALSE)=TRUE, 0, 1)</f>
        <v>1</v>
      </c>
      <c r="AK8" s="2">
        <f>IF(OR(ISERROR(FIND("PII",Calculate_Business_Metadata[[#This Row],[PII/Non-PII]], 1))=FALSE, ISERROR(FIND("PII",Calculate_Business_Metadata[[#This Row],[PII/Non-PII]], 1))=FALSE)=TRUE, 1, 0)</f>
        <v>1</v>
      </c>
      <c r="AM8" s="2">
        <f>IF( COUNTIFS(B:B, Calculate_Business_Metadata[[#This Row],[Business Attribute Name]], D:D, Calculate_Business_Metadata[[#This Row],[Column Name]], L:L, Calculate_Business_Metadata[[#This Row],[Subdomain]]) &gt; 1, 0, 1)</f>
        <v>1</v>
      </c>
      <c r="AN8" s="2" t="str">
        <f>LEFT(Calculate_Business_Metadata[[#This Row],[Business Definition (EN)]], 150)</f>
        <v>Nationality Code represents the nationality code of the customer. It is stored as a 2-digit or 3-digit abbreviation code depending on the system
Samp</v>
      </c>
      <c r="AO8" s="2">
        <f ca="1">IF( COUNTIFS(AO:AO,AN8, B:B, Calculate_Business_Metadata[[#This Row],[Business Attribute Name]],L:L, Calculate_Business_Metadata[[#This Row],[Subdomain]]) &lt;&gt; 1, 0, 1)</f>
        <v>0</v>
      </c>
      <c r="AP8" s="2">
        <f>IF(COUNTIFS(B:B, Calculate_Business_Metadata[[#This Row],[Business Attribute Name]], D:D, Calculate_Business_Metadata[[#This Row],[Column Name]], AN:AN, AN8) &gt;1, 0, 1)</f>
        <v>1</v>
      </c>
      <c r="AR8" s="2">
        <f>IF(COUNTIFS('Cal_Technical - Column'!D:D, Calculate_Business_Metadata[[#This Row],[Column Name]])&gt; 0, 1, 0)</f>
        <v>1</v>
      </c>
    </row>
    <row r="9" spans="1:44" ht="409.5" x14ac:dyDescent="0.3">
      <c r="A9" s="74">
        <v>8</v>
      </c>
      <c r="B9" s="74" t="s">
        <v>133</v>
      </c>
      <c r="C9" s="1" t="s">
        <v>134</v>
      </c>
      <c r="D9" s="74" t="s">
        <v>65</v>
      </c>
      <c r="E9" s="74" t="s">
        <v>54</v>
      </c>
      <c r="F9" s="2" t="s">
        <v>47</v>
      </c>
      <c r="G9" s="74" t="s">
        <v>135</v>
      </c>
      <c r="H9" s="74" t="s">
        <v>113</v>
      </c>
      <c r="I9" s="74" t="s">
        <v>114</v>
      </c>
      <c r="J9" s="70">
        <v>45300</v>
      </c>
      <c r="K9" s="74" t="s">
        <v>57</v>
      </c>
      <c r="L9" s="74" t="s">
        <v>38</v>
      </c>
      <c r="M9"/>
      <c r="N9" s="2">
        <f>IF(ISBLANK(Calculate_Business_Metadata[[#This Row],[Business Attribute Name]])=TRUE, 0, 1)</f>
        <v>1</v>
      </c>
      <c r="O9" s="2">
        <f>IF(ISBLANK(Calculate_Business_Metadata[[#This Row],[Business Definition (EN)]])=TRUE, 0, 1)</f>
        <v>1</v>
      </c>
      <c r="P9" s="2">
        <f>IF(ISBLANK(Calculate_Business_Metadata[[#This Row],[Column Name]])=TRUE, 0, 1)</f>
        <v>1</v>
      </c>
      <c r="Q9" s="2">
        <f>IF(ISBLANK(Calculate_Business_Metadata[[#This Row],[PII/Non-PII]])=TRUE, 0, 1)</f>
        <v>1</v>
      </c>
      <c r="R9" s="2" t="b">
        <f>ISERROR(FIND("-", Calculate_Business_Metadata[[#This Row],[List of Allowable Values]]))</f>
        <v>0</v>
      </c>
      <c r="S9" s="2" t="b">
        <f>ISERROR(FIND("Flag",Calculate_Business_Metadata[[#This Row],[List of Allowable Values]], 1))</f>
        <v>1</v>
      </c>
      <c r="T9" s="2" t="b">
        <f>ISERROR(FIND("In this case, the list of allowable values can be contact",Calculate_Business_Metadata[[#This Row],[List of Allowable Values]], 1))</f>
        <v>1</v>
      </c>
      <c r="U9" s="2" t="b">
        <f>ISERROR(FIND("In this case, the list of allowable values can be found",Calculate_Business_Metadata[[#This Row],[List of Allowable Values]], 1))</f>
        <v>1</v>
      </c>
      <c r="V9" s="2" t="b">
        <f>ISERROR(FIND("list of allowable values",Calculate_Business_Metadata[[#This Row],[List of Allowable Values]], 1))</f>
        <v>1</v>
      </c>
      <c r="W9" s="2">
        <f t="shared" si="0"/>
        <v>1</v>
      </c>
      <c r="X9" s="2">
        <f>IF(ISBLANK(Calculate_Business_Metadata[[#This Row],[Sample Data]])=TRUE, 0, 1)</f>
        <v>1</v>
      </c>
      <c r="Y9" s="2">
        <f>IF(ISBLANK(Calculate_Business_Metadata[[#This Row],[Business Data Steward]])=TRUE, 0, 1)</f>
        <v>1</v>
      </c>
      <c r="Z9" s="2">
        <f>IF(ISBLANK(Calculate_Business_Metadata[[#This Row],[Data Owner]])=TRUE, 0, 1)</f>
        <v>1</v>
      </c>
      <c r="AA9" s="2">
        <f>IF(ISBLANK(Calculate_Business_Metadata[[#This Row],[Updated Date]])=TRUE, 0, 1)</f>
        <v>1</v>
      </c>
      <c r="AB9" s="2">
        <f>IF(ISBLANK(Calculate_Business_Metadata[[#This Row],[Updated By]])=TRUE, 0, 1)</f>
        <v>1</v>
      </c>
      <c r="AD9" s="2">
        <f>IF(OR(
ISERROR(FIND("  ",Calculate_Business_Metadata[[#This Row],[Business Attribute Name]], 1))=FALSE,
ISERROR(FIND("_",Calculate_Business_Metadata[[#This Row],[Business Attribute Name]], 1))=FALSE)=TRUE, 0, 1)</f>
        <v>1</v>
      </c>
      <c r="AE9" s="2">
        <f>IF(OR(
ISERROR(FIND("  ",Calculate_Business_Metadata[[#This Row],[Business Definition (EN)]], 1))=FALSE,
ISERROR(FIND("__",Calculate_Business_Metadata[[#This Row],[Business Definition (EN)]], 1))=FALSE)=TRUE, 0, 1)</f>
        <v>1</v>
      </c>
      <c r="AF9" s="2">
        <f>IF(OR(
ISERROR(FIND("  ",Calculate_Business_Metadata[[#This Row],[Column Name]], 1))=FALSE,
ISERROR(FIND("__",Calculate_Business_Metadata[[#This Row],[Column Name]], 1))=FALSE)=TRUE, 0, 1)</f>
        <v>1</v>
      </c>
      <c r="AG9" s="2">
        <f>IF(OR(
ISERROR(FIND("  ",Calculate_Business_Metadata[[#This Row],[Business Data Steward]], 1))=FALSE,
ISERROR(FIND("_",Calculate_Business_Metadata[[#This Row],[Business Data Steward]], 1))=FALSE)=TRUE, 0, 1)</f>
        <v>1</v>
      </c>
      <c r="AH9" s="2">
        <f>IF(OR(
ISERROR(FIND("  ",Calculate_Business_Metadata[[#This Row],[Data Owner]], 1))=FALSE,
ISERROR(FIND("_",Calculate_Business_Metadata[[#This Row],[Data Owner]], 1))=FALSE)=TRUE, 0, 1)</f>
        <v>1</v>
      </c>
      <c r="AI9" s="2">
        <f>IF(OR(
ISERROR(FIND("  ",Calculate_Business_Metadata[[#This Row],[Updated By]], 1))=FALSE,
ISERROR(FIND("_",Calculate_Business_Metadata[[#This Row],[Updated By]], 1))=FALSE)=TRUE, 0, 1)</f>
        <v>1</v>
      </c>
      <c r="AK9" s="2">
        <f>IF(OR(ISERROR(FIND("PII",Calculate_Business_Metadata[[#This Row],[PII/Non-PII]], 1))=FALSE, ISERROR(FIND("PII",Calculate_Business_Metadata[[#This Row],[PII/Non-PII]], 1))=FALSE)=TRUE, 1, 0)</f>
        <v>1</v>
      </c>
      <c r="AM9" s="2">
        <f>IF( COUNTIFS(B:B, Calculate_Business_Metadata[[#This Row],[Business Attribute Name]], D:D, Calculate_Business_Metadata[[#This Row],[Column Name]], L:L, Calculate_Business_Metadata[[#This Row],[Subdomain]]) &gt; 1, 0, 1)</f>
        <v>1</v>
      </c>
      <c r="AN9" s="2" t="str">
        <f>LEFT(Calculate_Business_Metadata[[#This Row],[Business Definition (EN)]], 150)</f>
        <v>Mobile phone number means the customer's phone number used to contact them.
The format should be
Mobile phone number in Thailand (10 digits):
'0XX-XXX</v>
      </c>
      <c r="AO9" s="2">
        <f ca="1">IF( COUNTIFS(AO:AO,AN9, B:B, Calculate_Business_Metadata[[#This Row],[Business Attribute Name]],L:L, Calculate_Business_Metadata[[#This Row],[Subdomain]]) &lt;&gt; 1, 0, 1)</f>
        <v>0</v>
      </c>
      <c r="AP9" s="2">
        <f>IF(COUNTIFS(B:B, Calculate_Business_Metadata[[#This Row],[Business Attribute Name]], D:D, Calculate_Business_Metadata[[#This Row],[Column Name]], AN:AN, AN9) &gt;1, 0, 1)</f>
        <v>1</v>
      </c>
      <c r="AR9" s="2">
        <f>IF(COUNTIFS('Cal_Technical - Column'!D:D, Calculate_Business_Metadata[[#This Row],[Column Name]])&gt; 0, 1, 0)</f>
        <v>1</v>
      </c>
    </row>
    <row r="10" spans="1:44" ht="14" x14ac:dyDescent="0.3">
      <c r="A10" s="74">
        <v>9</v>
      </c>
      <c r="B10" s="74" t="s">
        <v>136</v>
      </c>
      <c r="C10" s="1" t="s">
        <v>137</v>
      </c>
      <c r="D10" s="74" t="s">
        <v>67</v>
      </c>
      <c r="E10" s="74" t="s">
        <v>54</v>
      </c>
      <c r="F10" s="2" t="s">
        <v>47</v>
      </c>
      <c r="G10" s="74" t="s">
        <v>138</v>
      </c>
      <c r="H10" s="74" t="s">
        <v>113</v>
      </c>
      <c r="I10" s="74" t="s">
        <v>114</v>
      </c>
      <c r="J10" s="70">
        <v>45264</v>
      </c>
      <c r="K10" s="74" t="s">
        <v>57</v>
      </c>
      <c r="L10" s="74" t="s">
        <v>38</v>
      </c>
      <c r="M10"/>
      <c r="N10" s="2">
        <f>IF(ISBLANK(Calculate_Business_Metadata[[#This Row],[Business Attribute Name]])=TRUE, 0, 1)</f>
        <v>1</v>
      </c>
      <c r="O10" s="2">
        <f>IF(ISBLANK(Calculate_Business_Metadata[[#This Row],[Business Definition (EN)]])=TRUE, 0, 1)</f>
        <v>1</v>
      </c>
      <c r="P10" s="2">
        <f>IF(ISBLANK(Calculate_Business_Metadata[[#This Row],[Column Name]])=TRUE, 0, 1)</f>
        <v>1</v>
      </c>
      <c r="Q10" s="2">
        <f>IF(ISBLANK(Calculate_Business_Metadata[[#This Row],[PII/Non-PII]])=TRUE, 0, 1)</f>
        <v>1</v>
      </c>
      <c r="R10" s="2" t="b">
        <f>ISERROR(FIND("-", Calculate_Business_Metadata[[#This Row],[List of Allowable Values]]))</f>
        <v>0</v>
      </c>
      <c r="S10" s="2" t="b">
        <f>ISERROR(FIND("Flag",Calculate_Business_Metadata[[#This Row],[List of Allowable Values]], 1))</f>
        <v>1</v>
      </c>
      <c r="T10" s="2" t="b">
        <f>ISERROR(FIND("In this case, the list of allowable values can be contact",Calculate_Business_Metadata[[#This Row],[List of Allowable Values]], 1))</f>
        <v>1</v>
      </c>
      <c r="U10" s="2" t="b">
        <f>ISERROR(FIND("In this case, the list of allowable values can be found",Calculate_Business_Metadata[[#This Row],[List of Allowable Values]], 1))</f>
        <v>1</v>
      </c>
      <c r="V10" s="2" t="b">
        <f>ISERROR(FIND("list of allowable values",Calculate_Business_Metadata[[#This Row],[List of Allowable Values]], 1))</f>
        <v>1</v>
      </c>
      <c r="W10" s="2">
        <f t="shared" si="0"/>
        <v>1</v>
      </c>
      <c r="X10" s="2">
        <f>IF(ISBLANK(Calculate_Business_Metadata[[#This Row],[Sample Data]])=TRUE, 0, 1)</f>
        <v>1</v>
      </c>
      <c r="Y10" s="2">
        <f>IF(ISBLANK(Calculate_Business_Metadata[[#This Row],[Business Data Steward]])=TRUE, 0, 1)</f>
        <v>1</v>
      </c>
      <c r="Z10" s="2">
        <f>IF(ISBLANK(Calculate_Business_Metadata[[#This Row],[Data Owner]])=TRUE, 0, 1)</f>
        <v>1</v>
      </c>
      <c r="AA10" s="2">
        <f>IF(ISBLANK(Calculate_Business_Metadata[[#This Row],[Updated Date]])=TRUE, 0, 1)</f>
        <v>1</v>
      </c>
      <c r="AB10" s="2">
        <f>IF(ISBLANK(Calculate_Business_Metadata[[#This Row],[Updated By]])=TRUE, 0, 1)</f>
        <v>1</v>
      </c>
      <c r="AD10" s="2">
        <f>IF(OR(
ISERROR(FIND("  ",Calculate_Business_Metadata[[#This Row],[Business Attribute Name]], 1))=FALSE,
ISERROR(FIND("_",Calculate_Business_Metadata[[#This Row],[Business Attribute Name]], 1))=FALSE)=TRUE, 0, 1)</f>
        <v>1</v>
      </c>
      <c r="AE10" s="2">
        <f>IF(OR(
ISERROR(FIND("  ",Calculate_Business_Metadata[[#This Row],[Business Definition (EN)]], 1))=FALSE,
ISERROR(FIND("__",Calculate_Business_Metadata[[#This Row],[Business Definition (EN)]], 1))=FALSE)=TRUE, 0, 1)</f>
        <v>1</v>
      </c>
      <c r="AF10" s="2">
        <f>IF(OR(
ISERROR(FIND("  ",Calculate_Business_Metadata[[#This Row],[Column Name]], 1))=FALSE,
ISERROR(FIND("__",Calculate_Business_Metadata[[#This Row],[Column Name]], 1))=FALSE)=TRUE, 0, 1)</f>
        <v>1</v>
      </c>
      <c r="AG10" s="2">
        <f>IF(OR(
ISERROR(FIND("  ",Calculate_Business_Metadata[[#This Row],[Business Data Steward]], 1))=FALSE,
ISERROR(FIND("_",Calculate_Business_Metadata[[#This Row],[Business Data Steward]], 1))=FALSE)=TRUE, 0, 1)</f>
        <v>1</v>
      </c>
      <c r="AH10" s="2">
        <f>IF(OR(
ISERROR(FIND("  ",Calculate_Business_Metadata[[#This Row],[Data Owner]], 1))=FALSE,
ISERROR(FIND("_",Calculate_Business_Metadata[[#This Row],[Data Owner]], 1))=FALSE)=TRUE, 0, 1)</f>
        <v>1</v>
      </c>
      <c r="AI10" s="2">
        <f>IF(OR(
ISERROR(FIND("  ",Calculate_Business_Metadata[[#This Row],[Updated By]], 1))=FALSE,
ISERROR(FIND("_",Calculate_Business_Metadata[[#This Row],[Updated By]], 1))=FALSE)=TRUE, 0, 1)</f>
        <v>1</v>
      </c>
      <c r="AK10" s="2">
        <f>IF(OR(ISERROR(FIND("PII",Calculate_Business_Metadata[[#This Row],[PII/Non-PII]], 1))=FALSE, ISERROR(FIND("PII",Calculate_Business_Metadata[[#This Row],[PII/Non-PII]], 1))=FALSE)=TRUE, 1, 0)</f>
        <v>1</v>
      </c>
      <c r="AM10" s="2">
        <f>IF( COUNTIFS(B:B, Calculate_Business_Metadata[[#This Row],[Business Attribute Name]], D:D, Calculate_Business_Metadata[[#This Row],[Column Name]], L:L, Calculate_Business_Metadata[[#This Row],[Subdomain]]) &gt; 1, 0, 1)</f>
        <v>1</v>
      </c>
      <c r="AN10" s="2" t="str">
        <f>LEFT(Calculate_Business_Metadata[[#This Row],[Business Definition (EN)]], 150)</f>
        <v>TBC</v>
      </c>
      <c r="AO10" s="2">
        <f ca="1">IF( COUNTIFS(AO:AO,AN10, B:B, Calculate_Business_Metadata[[#This Row],[Business Attribute Name]],L:L, Calculate_Business_Metadata[[#This Row],[Subdomain]]) &lt;&gt; 1, 0, 1)</f>
        <v>0</v>
      </c>
      <c r="AP10" s="2">
        <f>IF(COUNTIFS(B:B, Calculate_Business_Metadata[[#This Row],[Business Attribute Name]], D:D, Calculate_Business_Metadata[[#This Row],[Column Name]], AN:AN, AN10) &gt;1, 0, 1)</f>
        <v>1</v>
      </c>
      <c r="AR10" s="2">
        <f>IF(COUNTIFS('Cal_Technical - Column'!D:D, Calculate_Business_Metadata[[#This Row],[Column Name]])&gt; 0, 1, 0)</f>
        <v>1</v>
      </c>
    </row>
    <row r="11" spans="1:44" ht="14" x14ac:dyDescent="0.3">
      <c r="A11" s="74">
        <v>10</v>
      </c>
      <c r="B11" s="74" t="s">
        <v>139</v>
      </c>
      <c r="C11" s="1" t="s">
        <v>137</v>
      </c>
      <c r="D11" s="74" t="s">
        <v>69</v>
      </c>
      <c r="E11" s="74" t="s">
        <v>54</v>
      </c>
      <c r="F11" s="2" t="s">
        <v>47</v>
      </c>
      <c r="G11" s="74" t="s">
        <v>140</v>
      </c>
      <c r="H11" s="74" t="s">
        <v>113</v>
      </c>
      <c r="I11" s="74" t="s">
        <v>114</v>
      </c>
      <c r="J11" s="70">
        <v>45264</v>
      </c>
      <c r="K11" s="74" t="s">
        <v>57</v>
      </c>
      <c r="L11" s="74" t="s">
        <v>38</v>
      </c>
      <c r="M11"/>
      <c r="N11" s="2">
        <f>IF(ISBLANK(Calculate_Business_Metadata[[#This Row],[Business Attribute Name]])=TRUE, 0, 1)</f>
        <v>1</v>
      </c>
      <c r="O11" s="2">
        <f>IF(ISBLANK(Calculate_Business_Metadata[[#This Row],[Business Definition (EN)]])=TRUE, 0, 1)</f>
        <v>1</v>
      </c>
      <c r="P11" s="2">
        <f>IF(ISBLANK(Calculate_Business_Metadata[[#This Row],[Column Name]])=TRUE, 0, 1)</f>
        <v>1</v>
      </c>
      <c r="Q11" s="2">
        <f>IF(ISBLANK(Calculate_Business_Metadata[[#This Row],[PII/Non-PII]])=TRUE, 0, 1)</f>
        <v>1</v>
      </c>
      <c r="R11" s="2" t="b">
        <f>ISERROR(FIND("-", Calculate_Business_Metadata[[#This Row],[List of Allowable Values]]))</f>
        <v>0</v>
      </c>
      <c r="S11" s="2" t="b">
        <f>ISERROR(FIND("Flag",Calculate_Business_Metadata[[#This Row],[List of Allowable Values]], 1))</f>
        <v>1</v>
      </c>
      <c r="T11" s="2" t="b">
        <f>ISERROR(FIND("In this case, the list of allowable values can be contact",Calculate_Business_Metadata[[#This Row],[List of Allowable Values]], 1))</f>
        <v>1</v>
      </c>
      <c r="U11" s="2" t="b">
        <f>ISERROR(FIND("In this case, the list of allowable values can be found",Calculate_Business_Metadata[[#This Row],[List of Allowable Values]], 1))</f>
        <v>1</v>
      </c>
      <c r="V11" s="2" t="b">
        <f>ISERROR(FIND("list of allowable values",Calculate_Business_Metadata[[#This Row],[List of Allowable Values]], 1))</f>
        <v>1</v>
      </c>
      <c r="W11" s="2">
        <f t="shared" si="0"/>
        <v>1</v>
      </c>
      <c r="X11" s="2">
        <f>IF(ISBLANK(Calculate_Business_Metadata[[#This Row],[Sample Data]])=TRUE, 0, 1)</f>
        <v>1</v>
      </c>
      <c r="Y11" s="2">
        <f>IF(ISBLANK(Calculate_Business_Metadata[[#This Row],[Business Data Steward]])=TRUE, 0, 1)</f>
        <v>1</v>
      </c>
      <c r="Z11" s="2">
        <f>IF(ISBLANK(Calculate_Business_Metadata[[#This Row],[Data Owner]])=TRUE, 0, 1)</f>
        <v>1</v>
      </c>
      <c r="AA11" s="2">
        <f>IF(ISBLANK(Calculate_Business_Metadata[[#This Row],[Updated Date]])=TRUE, 0, 1)</f>
        <v>1</v>
      </c>
      <c r="AB11" s="2">
        <f>IF(ISBLANK(Calculate_Business_Metadata[[#This Row],[Updated By]])=TRUE, 0, 1)</f>
        <v>1</v>
      </c>
      <c r="AD11" s="2">
        <f>IF(OR(
ISERROR(FIND("  ",Calculate_Business_Metadata[[#This Row],[Business Attribute Name]], 1))=FALSE,
ISERROR(FIND("_",Calculate_Business_Metadata[[#This Row],[Business Attribute Name]], 1))=FALSE)=TRUE, 0, 1)</f>
        <v>1</v>
      </c>
      <c r="AE11" s="2">
        <f>IF(OR(
ISERROR(FIND("  ",Calculate_Business_Metadata[[#This Row],[Business Definition (EN)]], 1))=FALSE,
ISERROR(FIND("__",Calculate_Business_Metadata[[#This Row],[Business Definition (EN)]], 1))=FALSE)=TRUE, 0, 1)</f>
        <v>1</v>
      </c>
      <c r="AF11" s="2">
        <f>IF(OR(
ISERROR(FIND("  ",Calculate_Business_Metadata[[#This Row],[Column Name]], 1))=FALSE,
ISERROR(FIND("__",Calculate_Business_Metadata[[#This Row],[Column Name]], 1))=FALSE)=TRUE, 0, 1)</f>
        <v>1</v>
      </c>
      <c r="AG11" s="2">
        <f>IF(OR(
ISERROR(FIND("  ",Calculate_Business_Metadata[[#This Row],[Business Data Steward]], 1))=FALSE,
ISERROR(FIND("_",Calculate_Business_Metadata[[#This Row],[Business Data Steward]], 1))=FALSE)=TRUE, 0, 1)</f>
        <v>1</v>
      </c>
      <c r="AH11" s="2">
        <f>IF(OR(
ISERROR(FIND("  ",Calculate_Business_Metadata[[#This Row],[Data Owner]], 1))=FALSE,
ISERROR(FIND("_",Calculate_Business_Metadata[[#This Row],[Data Owner]], 1))=FALSE)=TRUE, 0, 1)</f>
        <v>1</v>
      </c>
      <c r="AI11" s="2">
        <f>IF(OR(
ISERROR(FIND("  ",Calculate_Business_Metadata[[#This Row],[Updated By]], 1))=FALSE,
ISERROR(FIND("_",Calculate_Business_Metadata[[#This Row],[Updated By]], 1))=FALSE)=TRUE, 0, 1)</f>
        <v>1</v>
      </c>
      <c r="AK11" s="2">
        <f>IF(OR(ISERROR(FIND("PII",Calculate_Business_Metadata[[#This Row],[PII/Non-PII]], 1))=FALSE, ISERROR(FIND("PII",Calculate_Business_Metadata[[#This Row],[PII/Non-PII]], 1))=FALSE)=TRUE, 1, 0)</f>
        <v>1</v>
      </c>
      <c r="AM11" s="2">
        <f>IF( COUNTIFS(B:B, Calculate_Business_Metadata[[#This Row],[Business Attribute Name]], D:D, Calculate_Business_Metadata[[#This Row],[Column Name]], L:L, Calculate_Business_Metadata[[#This Row],[Subdomain]]) &gt; 1, 0, 1)</f>
        <v>1</v>
      </c>
      <c r="AN11" s="2" t="str">
        <f>LEFT(Calculate_Business_Metadata[[#This Row],[Business Definition (EN)]], 150)</f>
        <v>TBC</v>
      </c>
      <c r="AO11" s="2">
        <f ca="1">IF( COUNTIFS(AO:AO,AN11, B:B, Calculate_Business_Metadata[[#This Row],[Business Attribute Name]],L:L, Calculate_Business_Metadata[[#This Row],[Subdomain]]) &lt;&gt; 1, 0, 1)</f>
        <v>0</v>
      </c>
      <c r="AP11" s="2">
        <f>IF(COUNTIFS(B:B, Calculate_Business_Metadata[[#This Row],[Business Attribute Name]], D:D, Calculate_Business_Metadata[[#This Row],[Column Name]], AN:AN, AN11) &gt;1, 0, 1)</f>
        <v>1</v>
      </c>
      <c r="AR11" s="2">
        <f>IF(COUNTIFS('Cal_Technical - Column'!D:D, Calculate_Business_Metadata[[#This Row],[Column Name]])&gt; 0, 1, 0)</f>
        <v>1</v>
      </c>
    </row>
    <row r="12" spans="1:44" ht="14" x14ac:dyDescent="0.3">
      <c r="A12" s="74">
        <v>11</v>
      </c>
      <c r="B12" s="74" t="s">
        <v>141</v>
      </c>
      <c r="C12" s="1" t="s">
        <v>137</v>
      </c>
      <c r="D12" s="74" t="s">
        <v>70</v>
      </c>
      <c r="E12" s="74" t="s">
        <v>54</v>
      </c>
      <c r="F12" s="2" t="s">
        <v>47</v>
      </c>
      <c r="G12" s="74" t="s">
        <v>142</v>
      </c>
      <c r="H12" s="74" t="s">
        <v>113</v>
      </c>
      <c r="I12" s="74" t="s">
        <v>114</v>
      </c>
      <c r="J12" s="70">
        <v>45264</v>
      </c>
      <c r="K12" s="74" t="s">
        <v>57</v>
      </c>
      <c r="L12" s="74" t="s">
        <v>38</v>
      </c>
      <c r="M12"/>
      <c r="N12" s="2">
        <f>IF(ISBLANK(Calculate_Business_Metadata[[#This Row],[Business Attribute Name]])=TRUE, 0, 1)</f>
        <v>1</v>
      </c>
      <c r="O12" s="2">
        <f>IF(ISBLANK(Calculate_Business_Metadata[[#This Row],[Business Definition (EN)]])=TRUE, 0, 1)</f>
        <v>1</v>
      </c>
      <c r="P12" s="2">
        <f>IF(ISBLANK(Calculate_Business_Metadata[[#This Row],[Column Name]])=TRUE, 0, 1)</f>
        <v>1</v>
      </c>
      <c r="Q12" s="2">
        <f>IF(ISBLANK(Calculate_Business_Metadata[[#This Row],[PII/Non-PII]])=TRUE, 0, 1)</f>
        <v>1</v>
      </c>
      <c r="R12" s="2" t="b">
        <f>ISERROR(FIND("-", Calculate_Business_Metadata[[#This Row],[List of Allowable Values]]))</f>
        <v>0</v>
      </c>
      <c r="S12" s="2" t="b">
        <f>ISERROR(FIND("Flag",Calculate_Business_Metadata[[#This Row],[List of Allowable Values]], 1))</f>
        <v>1</v>
      </c>
      <c r="T12" s="2" t="b">
        <f>ISERROR(FIND("In this case, the list of allowable values can be contact",Calculate_Business_Metadata[[#This Row],[List of Allowable Values]], 1))</f>
        <v>1</v>
      </c>
      <c r="U12" s="2" t="b">
        <f>ISERROR(FIND("In this case, the list of allowable values can be found",Calculate_Business_Metadata[[#This Row],[List of Allowable Values]], 1))</f>
        <v>1</v>
      </c>
      <c r="V12" s="2" t="b">
        <f>ISERROR(FIND("list of allowable values",Calculate_Business_Metadata[[#This Row],[List of Allowable Values]], 1))</f>
        <v>1</v>
      </c>
      <c r="W12" s="2">
        <f t="shared" si="0"/>
        <v>1</v>
      </c>
      <c r="X12" s="2">
        <f>IF(ISBLANK(Calculate_Business_Metadata[[#This Row],[Sample Data]])=TRUE, 0, 1)</f>
        <v>1</v>
      </c>
      <c r="Y12" s="2">
        <f>IF(ISBLANK(Calculate_Business_Metadata[[#This Row],[Business Data Steward]])=TRUE, 0, 1)</f>
        <v>1</v>
      </c>
      <c r="Z12" s="2">
        <f>IF(ISBLANK(Calculate_Business_Metadata[[#This Row],[Data Owner]])=TRUE, 0, 1)</f>
        <v>1</v>
      </c>
      <c r="AA12" s="2">
        <f>IF(ISBLANK(Calculate_Business_Metadata[[#This Row],[Updated Date]])=TRUE, 0, 1)</f>
        <v>1</v>
      </c>
      <c r="AB12" s="2">
        <f>IF(ISBLANK(Calculate_Business_Metadata[[#This Row],[Updated By]])=TRUE, 0, 1)</f>
        <v>1</v>
      </c>
      <c r="AD12" s="2">
        <f>IF(OR(
ISERROR(FIND("  ",Calculate_Business_Metadata[[#This Row],[Business Attribute Name]], 1))=FALSE,
ISERROR(FIND("_",Calculate_Business_Metadata[[#This Row],[Business Attribute Name]], 1))=FALSE)=TRUE, 0, 1)</f>
        <v>1</v>
      </c>
      <c r="AE12" s="2">
        <f>IF(OR(
ISERROR(FIND("  ",Calculate_Business_Metadata[[#This Row],[Business Definition (EN)]], 1))=FALSE,
ISERROR(FIND("__",Calculate_Business_Metadata[[#This Row],[Business Definition (EN)]], 1))=FALSE)=TRUE, 0, 1)</f>
        <v>1</v>
      </c>
      <c r="AF12" s="2">
        <f>IF(OR(
ISERROR(FIND("  ",Calculate_Business_Metadata[[#This Row],[Column Name]], 1))=FALSE,
ISERROR(FIND("__",Calculate_Business_Metadata[[#This Row],[Column Name]], 1))=FALSE)=TRUE, 0, 1)</f>
        <v>1</v>
      </c>
      <c r="AG12" s="2">
        <f>IF(OR(
ISERROR(FIND("  ",Calculate_Business_Metadata[[#This Row],[Business Data Steward]], 1))=FALSE,
ISERROR(FIND("_",Calculate_Business_Metadata[[#This Row],[Business Data Steward]], 1))=FALSE)=TRUE, 0, 1)</f>
        <v>1</v>
      </c>
      <c r="AH12" s="2">
        <f>IF(OR(
ISERROR(FIND("  ",Calculate_Business_Metadata[[#This Row],[Data Owner]], 1))=FALSE,
ISERROR(FIND("_",Calculate_Business_Metadata[[#This Row],[Data Owner]], 1))=FALSE)=TRUE, 0, 1)</f>
        <v>1</v>
      </c>
      <c r="AI12" s="2">
        <f>IF(OR(
ISERROR(FIND("  ",Calculate_Business_Metadata[[#This Row],[Updated By]], 1))=FALSE,
ISERROR(FIND("_",Calculate_Business_Metadata[[#This Row],[Updated By]], 1))=FALSE)=TRUE, 0, 1)</f>
        <v>1</v>
      </c>
      <c r="AK12" s="2">
        <f>IF(OR(ISERROR(FIND("PII",Calculate_Business_Metadata[[#This Row],[PII/Non-PII]], 1))=FALSE, ISERROR(FIND("PII",Calculate_Business_Metadata[[#This Row],[PII/Non-PII]], 1))=FALSE)=TRUE, 1, 0)</f>
        <v>1</v>
      </c>
      <c r="AM12" s="2">
        <f>IF( COUNTIFS(B:B, Calculate_Business_Metadata[[#This Row],[Business Attribute Name]], D:D, Calculate_Business_Metadata[[#This Row],[Column Name]], L:L, Calculate_Business_Metadata[[#This Row],[Subdomain]]) &gt; 1, 0, 1)</f>
        <v>1</v>
      </c>
      <c r="AN12" s="2" t="str">
        <f>LEFT(Calculate_Business_Metadata[[#This Row],[Business Definition (EN)]], 150)</f>
        <v>TBC</v>
      </c>
      <c r="AO12" s="2">
        <f ca="1">IF( COUNTIFS(AO:AO,AN12, B:B, Calculate_Business_Metadata[[#This Row],[Business Attribute Name]],L:L, Calculate_Business_Metadata[[#This Row],[Subdomain]]) &lt;&gt; 1, 0, 1)</f>
        <v>0</v>
      </c>
      <c r="AP12" s="2">
        <f>IF(COUNTIFS(B:B, Calculate_Business_Metadata[[#This Row],[Business Attribute Name]], D:D, Calculate_Business_Metadata[[#This Row],[Column Name]], AN:AN, AN12) &gt;1, 0, 1)</f>
        <v>1</v>
      </c>
      <c r="AR12" s="2">
        <f>IF(COUNTIFS('Cal_Technical - Column'!D:D, Calculate_Business_Metadata[[#This Row],[Column Name]])&gt; 0, 1, 0)</f>
        <v>1</v>
      </c>
    </row>
    <row r="13" spans="1:44" ht="14" x14ac:dyDescent="0.3">
      <c r="A13" s="74">
        <v>12</v>
      </c>
      <c r="B13" s="74" t="s">
        <v>143</v>
      </c>
      <c r="C13" s="1" t="s">
        <v>137</v>
      </c>
      <c r="D13" s="74" t="s">
        <v>71</v>
      </c>
      <c r="E13" s="74" t="s">
        <v>54</v>
      </c>
      <c r="F13" s="2" t="s">
        <v>47</v>
      </c>
      <c r="G13" s="74" t="s">
        <v>144</v>
      </c>
      <c r="H13" s="74" t="s">
        <v>113</v>
      </c>
      <c r="I13" s="74" t="s">
        <v>114</v>
      </c>
      <c r="J13" s="70">
        <v>45264</v>
      </c>
      <c r="K13" s="74" t="s">
        <v>57</v>
      </c>
      <c r="L13" s="74" t="s">
        <v>38</v>
      </c>
      <c r="M13"/>
      <c r="N13" s="2">
        <f>IF(ISBLANK(Calculate_Business_Metadata[[#This Row],[Business Attribute Name]])=TRUE, 0, 1)</f>
        <v>1</v>
      </c>
      <c r="O13" s="2">
        <f>IF(ISBLANK(Calculate_Business_Metadata[[#This Row],[Business Definition (EN)]])=TRUE, 0, 1)</f>
        <v>1</v>
      </c>
      <c r="P13" s="2">
        <f>IF(ISBLANK(Calculate_Business_Metadata[[#This Row],[Column Name]])=TRUE, 0, 1)</f>
        <v>1</v>
      </c>
      <c r="Q13" s="2">
        <f>IF(ISBLANK(Calculate_Business_Metadata[[#This Row],[PII/Non-PII]])=TRUE, 0, 1)</f>
        <v>1</v>
      </c>
      <c r="R13" s="2" t="b">
        <f>ISERROR(FIND("-", Calculate_Business_Metadata[[#This Row],[List of Allowable Values]]))</f>
        <v>0</v>
      </c>
      <c r="S13" s="2" t="b">
        <f>ISERROR(FIND("Flag",Calculate_Business_Metadata[[#This Row],[List of Allowable Values]], 1))</f>
        <v>1</v>
      </c>
      <c r="T13" s="2" t="b">
        <f>ISERROR(FIND("In this case, the list of allowable values can be contact",Calculate_Business_Metadata[[#This Row],[List of Allowable Values]], 1))</f>
        <v>1</v>
      </c>
      <c r="U13" s="2" t="b">
        <f>ISERROR(FIND("In this case, the list of allowable values can be found",Calculate_Business_Metadata[[#This Row],[List of Allowable Values]], 1))</f>
        <v>1</v>
      </c>
      <c r="V13" s="2" t="b">
        <f>ISERROR(FIND("list of allowable values",Calculate_Business_Metadata[[#This Row],[List of Allowable Values]], 1))</f>
        <v>1</v>
      </c>
      <c r="W13" s="2">
        <f t="shared" si="0"/>
        <v>1</v>
      </c>
      <c r="X13" s="2">
        <f>IF(ISBLANK(Calculate_Business_Metadata[[#This Row],[Sample Data]])=TRUE, 0, 1)</f>
        <v>1</v>
      </c>
      <c r="Y13" s="2">
        <f>IF(ISBLANK(Calculate_Business_Metadata[[#This Row],[Business Data Steward]])=TRUE, 0, 1)</f>
        <v>1</v>
      </c>
      <c r="Z13" s="2">
        <f>IF(ISBLANK(Calculate_Business_Metadata[[#This Row],[Data Owner]])=TRUE, 0, 1)</f>
        <v>1</v>
      </c>
      <c r="AA13" s="2">
        <f>IF(ISBLANK(Calculate_Business_Metadata[[#This Row],[Updated Date]])=TRUE, 0, 1)</f>
        <v>1</v>
      </c>
      <c r="AB13" s="2">
        <f>IF(ISBLANK(Calculate_Business_Metadata[[#This Row],[Updated By]])=TRUE, 0, 1)</f>
        <v>1</v>
      </c>
      <c r="AD13" s="2">
        <f>IF(OR(
ISERROR(FIND("  ",Calculate_Business_Metadata[[#This Row],[Business Attribute Name]], 1))=FALSE,
ISERROR(FIND("_",Calculate_Business_Metadata[[#This Row],[Business Attribute Name]], 1))=FALSE)=TRUE, 0, 1)</f>
        <v>1</v>
      </c>
      <c r="AE13" s="2">
        <f>IF(OR(
ISERROR(FIND("  ",Calculate_Business_Metadata[[#This Row],[Business Definition (EN)]], 1))=FALSE,
ISERROR(FIND("__",Calculate_Business_Metadata[[#This Row],[Business Definition (EN)]], 1))=FALSE)=TRUE, 0, 1)</f>
        <v>1</v>
      </c>
      <c r="AF13" s="2">
        <f>IF(OR(
ISERROR(FIND("  ",Calculate_Business_Metadata[[#This Row],[Column Name]], 1))=FALSE,
ISERROR(FIND("__",Calculate_Business_Metadata[[#This Row],[Column Name]], 1))=FALSE)=TRUE, 0, 1)</f>
        <v>1</v>
      </c>
      <c r="AG13" s="2">
        <f>IF(OR(
ISERROR(FIND("  ",Calculate_Business_Metadata[[#This Row],[Business Data Steward]], 1))=FALSE,
ISERROR(FIND("_",Calculate_Business_Metadata[[#This Row],[Business Data Steward]], 1))=FALSE)=TRUE, 0, 1)</f>
        <v>1</v>
      </c>
      <c r="AH13" s="2">
        <f>IF(OR(
ISERROR(FIND("  ",Calculate_Business_Metadata[[#This Row],[Data Owner]], 1))=FALSE,
ISERROR(FIND("_",Calculate_Business_Metadata[[#This Row],[Data Owner]], 1))=FALSE)=TRUE, 0, 1)</f>
        <v>1</v>
      </c>
      <c r="AI13" s="2">
        <f>IF(OR(
ISERROR(FIND("  ",Calculate_Business_Metadata[[#This Row],[Updated By]], 1))=FALSE,
ISERROR(FIND("_",Calculate_Business_Metadata[[#This Row],[Updated By]], 1))=FALSE)=TRUE, 0, 1)</f>
        <v>1</v>
      </c>
      <c r="AK13" s="2">
        <f>IF(OR(ISERROR(FIND("PII",Calculate_Business_Metadata[[#This Row],[PII/Non-PII]], 1))=FALSE, ISERROR(FIND("PII",Calculate_Business_Metadata[[#This Row],[PII/Non-PII]], 1))=FALSE)=TRUE, 1, 0)</f>
        <v>1</v>
      </c>
      <c r="AM13" s="2">
        <f>IF( COUNTIFS(B:B, Calculate_Business_Metadata[[#This Row],[Business Attribute Name]], D:D, Calculate_Business_Metadata[[#This Row],[Column Name]], L:L, Calculate_Business_Metadata[[#This Row],[Subdomain]]) &gt; 1, 0, 1)</f>
        <v>1</v>
      </c>
      <c r="AN13" s="2" t="str">
        <f>LEFT(Calculate_Business_Metadata[[#This Row],[Business Definition (EN)]], 150)</f>
        <v>TBC</v>
      </c>
      <c r="AO13" s="2">
        <f ca="1">IF( COUNTIFS(AO:AO,AN13, B:B, Calculate_Business_Metadata[[#This Row],[Business Attribute Name]],L:L, Calculate_Business_Metadata[[#This Row],[Subdomain]]) &lt;&gt; 1, 0, 1)</f>
        <v>0</v>
      </c>
      <c r="AP13" s="2">
        <f>IF(COUNTIFS(B:B, Calculate_Business_Metadata[[#This Row],[Business Attribute Name]], D:D, Calculate_Business_Metadata[[#This Row],[Column Name]], AN:AN, AN13) &gt;1, 0, 1)</f>
        <v>1</v>
      </c>
      <c r="AR13" s="2">
        <f>IF(COUNTIFS('Cal_Technical - Column'!D:D, Calculate_Business_Metadata[[#This Row],[Column Name]])&gt; 0, 1, 0)</f>
        <v>1</v>
      </c>
    </row>
    <row r="14" spans="1:44" ht="14" x14ac:dyDescent="0.3">
      <c r="A14" s="74">
        <v>13</v>
      </c>
      <c r="B14" s="74" t="s">
        <v>145</v>
      </c>
      <c r="C14" s="1" t="s">
        <v>137</v>
      </c>
      <c r="D14" s="74" t="s">
        <v>72</v>
      </c>
      <c r="E14" s="74" t="s">
        <v>54</v>
      </c>
      <c r="F14" s="2" t="s">
        <v>47</v>
      </c>
      <c r="G14" s="74" t="s">
        <v>146</v>
      </c>
      <c r="H14" s="74" t="s">
        <v>113</v>
      </c>
      <c r="I14" s="74" t="s">
        <v>114</v>
      </c>
      <c r="J14" s="70">
        <v>45264</v>
      </c>
      <c r="K14" s="74" t="s">
        <v>57</v>
      </c>
      <c r="L14" s="74" t="s">
        <v>38</v>
      </c>
      <c r="M14"/>
      <c r="N14" s="2">
        <f>IF(ISBLANK(Calculate_Business_Metadata[[#This Row],[Business Attribute Name]])=TRUE, 0, 1)</f>
        <v>1</v>
      </c>
      <c r="O14" s="2">
        <f>IF(ISBLANK(Calculate_Business_Metadata[[#This Row],[Business Definition (EN)]])=TRUE, 0, 1)</f>
        <v>1</v>
      </c>
      <c r="P14" s="2">
        <f>IF(ISBLANK(Calculate_Business_Metadata[[#This Row],[Column Name]])=TRUE, 0, 1)</f>
        <v>1</v>
      </c>
      <c r="Q14" s="2">
        <f>IF(ISBLANK(Calculate_Business_Metadata[[#This Row],[PII/Non-PII]])=TRUE, 0, 1)</f>
        <v>1</v>
      </c>
      <c r="R14" s="2" t="b">
        <f>ISERROR(FIND("-", Calculate_Business_Metadata[[#This Row],[List of Allowable Values]]))</f>
        <v>0</v>
      </c>
      <c r="S14" s="2" t="b">
        <f>ISERROR(FIND("Flag",Calculate_Business_Metadata[[#This Row],[List of Allowable Values]], 1))</f>
        <v>1</v>
      </c>
      <c r="T14" s="2" t="b">
        <f>ISERROR(FIND("In this case, the list of allowable values can be contact",Calculate_Business_Metadata[[#This Row],[List of Allowable Values]], 1))</f>
        <v>1</v>
      </c>
      <c r="U14" s="2" t="b">
        <f>ISERROR(FIND("In this case, the list of allowable values can be found",Calculate_Business_Metadata[[#This Row],[List of Allowable Values]], 1))</f>
        <v>1</v>
      </c>
      <c r="V14" s="2" t="b">
        <f>ISERROR(FIND("list of allowable values",Calculate_Business_Metadata[[#This Row],[List of Allowable Values]], 1))</f>
        <v>1</v>
      </c>
      <c r="W14" s="2">
        <f t="shared" si="0"/>
        <v>1</v>
      </c>
      <c r="X14" s="2">
        <f>IF(ISBLANK(Calculate_Business_Metadata[[#This Row],[Sample Data]])=TRUE, 0, 1)</f>
        <v>1</v>
      </c>
      <c r="Y14" s="2">
        <f>IF(ISBLANK(Calculate_Business_Metadata[[#This Row],[Business Data Steward]])=TRUE, 0, 1)</f>
        <v>1</v>
      </c>
      <c r="Z14" s="2">
        <f>IF(ISBLANK(Calculate_Business_Metadata[[#This Row],[Data Owner]])=TRUE, 0, 1)</f>
        <v>1</v>
      </c>
      <c r="AA14" s="2">
        <f>IF(ISBLANK(Calculate_Business_Metadata[[#This Row],[Updated Date]])=TRUE, 0, 1)</f>
        <v>1</v>
      </c>
      <c r="AB14" s="2">
        <f>IF(ISBLANK(Calculate_Business_Metadata[[#This Row],[Updated By]])=TRUE, 0, 1)</f>
        <v>1</v>
      </c>
      <c r="AD14" s="2">
        <f>IF(OR(
ISERROR(FIND("  ",Calculate_Business_Metadata[[#This Row],[Business Attribute Name]], 1))=FALSE,
ISERROR(FIND("_",Calculate_Business_Metadata[[#This Row],[Business Attribute Name]], 1))=FALSE)=TRUE, 0, 1)</f>
        <v>1</v>
      </c>
      <c r="AE14" s="2">
        <f>IF(OR(
ISERROR(FIND("  ",Calculate_Business_Metadata[[#This Row],[Business Definition (EN)]], 1))=FALSE,
ISERROR(FIND("__",Calculate_Business_Metadata[[#This Row],[Business Definition (EN)]], 1))=FALSE)=TRUE, 0, 1)</f>
        <v>1</v>
      </c>
      <c r="AF14" s="2">
        <f>IF(OR(
ISERROR(FIND("  ",Calculate_Business_Metadata[[#This Row],[Column Name]], 1))=FALSE,
ISERROR(FIND("__",Calculate_Business_Metadata[[#This Row],[Column Name]], 1))=FALSE)=TRUE, 0, 1)</f>
        <v>1</v>
      </c>
      <c r="AG14" s="2">
        <f>IF(OR(
ISERROR(FIND("  ",Calculate_Business_Metadata[[#This Row],[Business Data Steward]], 1))=FALSE,
ISERROR(FIND("_",Calculate_Business_Metadata[[#This Row],[Business Data Steward]], 1))=FALSE)=TRUE, 0, 1)</f>
        <v>1</v>
      </c>
      <c r="AH14" s="2">
        <f>IF(OR(
ISERROR(FIND("  ",Calculate_Business_Metadata[[#This Row],[Data Owner]], 1))=FALSE,
ISERROR(FIND("_",Calculate_Business_Metadata[[#This Row],[Data Owner]], 1))=FALSE)=TRUE, 0, 1)</f>
        <v>1</v>
      </c>
      <c r="AI14" s="2">
        <f>IF(OR(
ISERROR(FIND("  ",Calculate_Business_Metadata[[#This Row],[Updated By]], 1))=FALSE,
ISERROR(FIND("_",Calculate_Business_Metadata[[#This Row],[Updated By]], 1))=FALSE)=TRUE, 0, 1)</f>
        <v>1</v>
      </c>
      <c r="AK14" s="2">
        <f>IF(OR(ISERROR(FIND("PII",Calculate_Business_Metadata[[#This Row],[PII/Non-PII]], 1))=FALSE, ISERROR(FIND("PII",Calculate_Business_Metadata[[#This Row],[PII/Non-PII]], 1))=FALSE)=TRUE, 1, 0)</f>
        <v>1</v>
      </c>
      <c r="AM14" s="2">
        <f>IF( COUNTIFS(B:B, Calculate_Business_Metadata[[#This Row],[Business Attribute Name]], D:D, Calculate_Business_Metadata[[#This Row],[Column Name]], L:L, Calculate_Business_Metadata[[#This Row],[Subdomain]]) &gt; 1, 0, 1)</f>
        <v>1</v>
      </c>
      <c r="AN14" s="2" t="str">
        <f>LEFT(Calculate_Business_Metadata[[#This Row],[Business Definition (EN)]], 150)</f>
        <v>TBC</v>
      </c>
      <c r="AO14" s="2">
        <f ca="1">IF( COUNTIFS(AO:AO,AN14, B:B, Calculate_Business_Metadata[[#This Row],[Business Attribute Name]],L:L, Calculate_Business_Metadata[[#This Row],[Subdomain]]) &lt;&gt; 1, 0, 1)</f>
        <v>0</v>
      </c>
      <c r="AP14" s="2">
        <f>IF(COUNTIFS(B:B, Calculate_Business_Metadata[[#This Row],[Business Attribute Name]], D:D, Calculate_Business_Metadata[[#This Row],[Column Name]], AN:AN, AN14) &gt;1, 0, 1)</f>
        <v>1</v>
      </c>
      <c r="AR14" s="2">
        <f>IF(COUNTIFS('Cal_Technical - Column'!D:D, Calculate_Business_Metadata[[#This Row],[Column Name]])&gt; 0, 1, 0)</f>
        <v>1</v>
      </c>
    </row>
    <row r="15" spans="1:44" ht="14" x14ac:dyDescent="0.3">
      <c r="A15" s="74">
        <v>14</v>
      </c>
      <c r="B15" s="74" t="s">
        <v>147</v>
      </c>
      <c r="C15" s="1" t="s">
        <v>137</v>
      </c>
      <c r="D15" s="74" t="s">
        <v>73</v>
      </c>
      <c r="E15" s="74" t="s">
        <v>54</v>
      </c>
      <c r="F15" s="2" t="s">
        <v>47</v>
      </c>
      <c r="G15" s="74" t="s">
        <v>148</v>
      </c>
      <c r="H15" s="74" t="s">
        <v>113</v>
      </c>
      <c r="I15" s="74" t="s">
        <v>114</v>
      </c>
      <c r="J15" s="70">
        <v>45264</v>
      </c>
      <c r="K15" s="74" t="s">
        <v>57</v>
      </c>
      <c r="L15" s="74" t="s">
        <v>38</v>
      </c>
      <c r="M15"/>
      <c r="N15" s="2">
        <f>IF(ISBLANK(Calculate_Business_Metadata[[#This Row],[Business Attribute Name]])=TRUE, 0, 1)</f>
        <v>1</v>
      </c>
      <c r="O15" s="2">
        <f>IF(ISBLANK(Calculate_Business_Metadata[[#This Row],[Business Definition (EN)]])=TRUE, 0, 1)</f>
        <v>1</v>
      </c>
      <c r="P15" s="2">
        <f>IF(ISBLANK(Calculate_Business_Metadata[[#This Row],[Column Name]])=TRUE, 0, 1)</f>
        <v>1</v>
      </c>
      <c r="Q15" s="2">
        <f>IF(ISBLANK(Calculate_Business_Metadata[[#This Row],[PII/Non-PII]])=TRUE, 0, 1)</f>
        <v>1</v>
      </c>
      <c r="R15" s="2" t="b">
        <f>ISERROR(FIND("-", Calculate_Business_Metadata[[#This Row],[List of Allowable Values]]))</f>
        <v>0</v>
      </c>
      <c r="S15" s="2" t="b">
        <f>ISERROR(FIND("Flag",Calculate_Business_Metadata[[#This Row],[List of Allowable Values]], 1))</f>
        <v>1</v>
      </c>
      <c r="T15" s="2" t="b">
        <f>ISERROR(FIND("In this case, the list of allowable values can be contact",Calculate_Business_Metadata[[#This Row],[List of Allowable Values]], 1))</f>
        <v>1</v>
      </c>
      <c r="U15" s="2" t="b">
        <f>ISERROR(FIND("In this case, the list of allowable values can be found",Calculate_Business_Metadata[[#This Row],[List of Allowable Values]], 1))</f>
        <v>1</v>
      </c>
      <c r="V15" s="2" t="b">
        <f>ISERROR(FIND("list of allowable values",Calculate_Business_Metadata[[#This Row],[List of Allowable Values]], 1))</f>
        <v>1</v>
      </c>
      <c r="W15" s="2">
        <f t="shared" si="0"/>
        <v>1</v>
      </c>
      <c r="X15" s="2">
        <f>IF(ISBLANK(Calculate_Business_Metadata[[#This Row],[Sample Data]])=TRUE, 0, 1)</f>
        <v>1</v>
      </c>
      <c r="Y15" s="2">
        <f>IF(ISBLANK(Calculate_Business_Metadata[[#This Row],[Business Data Steward]])=TRUE, 0, 1)</f>
        <v>1</v>
      </c>
      <c r="Z15" s="2">
        <f>IF(ISBLANK(Calculate_Business_Metadata[[#This Row],[Data Owner]])=TRUE, 0, 1)</f>
        <v>1</v>
      </c>
      <c r="AA15" s="2">
        <f>IF(ISBLANK(Calculate_Business_Metadata[[#This Row],[Updated Date]])=TRUE, 0, 1)</f>
        <v>1</v>
      </c>
      <c r="AB15" s="2">
        <f>IF(ISBLANK(Calculate_Business_Metadata[[#This Row],[Updated By]])=TRUE, 0, 1)</f>
        <v>1</v>
      </c>
      <c r="AD15" s="2">
        <f>IF(OR(
ISERROR(FIND("  ",Calculate_Business_Metadata[[#This Row],[Business Attribute Name]], 1))=FALSE,
ISERROR(FIND("_",Calculate_Business_Metadata[[#This Row],[Business Attribute Name]], 1))=FALSE)=TRUE, 0, 1)</f>
        <v>1</v>
      </c>
      <c r="AE15" s="2">
        <f>IF(OR(
ISERROR(FIND("  ",Calculate_Business_Metadata[[#This Row],[Business Definition (EN)]], 1))=FALSE,
ISERROR(FIND("__",Calculate_Business_Metadata[[#This Row],[Business Definition (EN)]], 1))=FALSE)=TRUE, 0, 1)</f>
        <v>1</v>
      </c>
      <c r="AF15" s="2">
        <f>IF(OR(
ISERROR(FIND("  ",Calculate_Business_Metadata[[#This Row],[Column Name]], 1))=FALSE,
ISERROR(FIND("__",Calculate_Business_Metadata[[#This Row],[Column Name]], 1))=FALSE)=TRUE, 0, 1)</f>
        <v>1</v>
      </c>
      <c r="AG15" s="2">
        <f>IF(OR(
ISERROR(FIND("  ",Calculate_Business_Metadata[[#This Row],[Business Data Steward]], 1))=FALSE,
ISERROR(FIND("_",Calculate_Business_Metadata[[#This Row],[Business Data Steward]], 1))=FALSE)=TRUE, 0, 1)</f>
        <v>1</v>
      </c>
      <c r="AH15" s="2">
        <f>IF(OR(
ISERROR(FIND("  ",Calculate_Business_Metadata[[#This Row],[Data Owner]], 1))=FALSE,
ISERROR(FIND("_",Calculate_Business_Metadata[[#This Row],[Data Owner]], 1))=FALSE)=TRUE, 0, 1)</f>
        <v>1</v>
      </c>
      <c r="AI15" s="2">
        <f>IF(OR(
ISERROR(FIND("  ",Calculate_Business_Metadata[[#This Row],[Updated By]], 1))=FALSE,
ISERROR(FIND("_",Calculate_Business_Metadata[[#This Row],[Updated By]], 1))=FALSE)=TRUE, 0, 1)</f>
        <v>1</v>
      </c>
      <c r="AK15" s="2">
        <f>IF(OR(ISERROR(FIND("PII",Calculate_Business_Metadata[[#This Row],[PII/Non-PII]], 1))=FALSE, ISERROR(FIND("PII",Calculate_Business_Metadata[[#This Row],[PII/Non-PII]], 1))=FALSE)=TRUE, 1, 0)</f>
        <v>1</v>
      </c>
      <c r="AM15" s="2">
        <f>IF( COUNTIFS(B:B, Calculate_Business_Metadata[[#This Row],[Business Attribute Name]], D:D, Calculate_Business_Metadata[[#This Row],[Column Name]], L:L, Calculate_Business_Metadata[[#This Row],[Subdomain]]) &gt; 1, 0, 1)</f>
        <v>1</v>
      </c>
      <c r="AN15" s="2" t="str">
        <f>LEFT(Calculate_Business_Metadata[[#This Row],[Business Definition (EN)]], 150)</f>
        <v>TBC</v>
      </c>
      <c r="AO15" s="2">
        <f ca="1">IF( COUNTIFS(AO:AO,AN15, B:B, Calculate_Business_Metadata[[#This Row],[Business Attribute Name]],L:L, Calculate_Business_Metadata[[#This Row],[Subdomain]]) &lt;&gt; 1, 0, 1)</f>
        <v>0</v>
      </c>
      <c r="AP15" s="2">
        <f>IF(COUNTIFS(B:B, Calculate_Business_Metadata[[#This Row],[Business Attribute Name]], D:D, Calculate_Business_Metadata[[#This Row],[Column Name]], AN:AN, AN15) &gt;1, 0, 1)</f>
        <v>1</v>
      </c>
      <c r="AR15" s="2">
        <f>IF(COUNTIFS('Cal_Technical - Column'!D:D, Calculate_Business_Metadata[[#This Row],[Column Name]])&gt; 0, 1, 0)</f>
        <v>1</v>
      </c>
    </row>
    <row r="16" spans="1:44" ht="210" x14ac:dyDescent="0.3">
      <c r="A16" s="74">
        <v>15</v>
      </c>
      <c r="B16" s="74" t="s">
        <v>149</v>
      </c>
      <c r="C16" s="1" t="s">
        <v>150</v>
      </c>
      <c r="D16" s="74" t="s">
        <v>74</v>
      </c>
      <c r="E16" s="74" t="s">
        <v>43</v>
      </c>
      <c r="F16" s="2" t="s">
        <v>151</v>
      </c>
      <c r="G16" s="74" t="s">
        <v>152</v>
      </c>
      <c r="H16" s="74" t="s">
        <v>113</v>
      </c>
      <c r="I16" s="74" t="s">
        <v>114</v>
      </c>
      <c r="J16" s="70">
        <v>45264</v>
      </c>
      <c r="K16" s="74" t="s">
        <v>57</v>
      </c>
      <c r="L16" s="74" t="s">
        <v>38</v>
      </c>
      <c r="M16"/>
      <c r="N16" s="2">
        <f>IF(ISBLANK(Calculate_Business_Metadata[[#This Row],[Business Attribute Name]])=TRUE, 0, 1)</f>
        <v>1</v>
      </c>
      <c r="O16" s="2">
        <f>IF(ISBLANK(Calculate_Business_Metadata[[#This Row],[Business Definition (EN)]])=TRUE, 0, 1)</f>
        <v>1</v>
      </c>
      <c r="P16" s="2">
        <f>IF(ISBLANK(Calculate_Business_Metadata[[#This Row],[Column Name]])=TRUE, 0, 1)</f>
        <v>1</v>
      </c>
      <c r="Q16" s="2">
        <f>IF(ISBLANK(Calculate_Business_Metadata[[#This Row],[PII/Non-PII]])=TRUE, 0, 1)</f>
        <v>1</v>
      </c>
      <c r="R16" s="2" t="b">
        <f>ISERROR(FIND("-", Calculate_Business_Metadata[[#This Row],[List of Allowable Values]]))</f>
        <v>1</v>
      </c>
      <c r="S16" s="2" t="b">
        <f>ISERROR(FIND("Flag",Calculate_Business_Metadata[[#This Row],[List of Allowable Values]], 1))</f>
        <v>1</v>
      </c>
      <c r="T16" s="2" t="b">
        <f>ISERROR(FIND("In this case, the list of allowable values can be contact",Calculate_Business_Metadata[[#This Row],[List of Allowable Values]], 1))</f>
        <v>1</v>
      </c>
      <c r="U16" s="2" t="b">
        <f>ISERROR(FIND("In this case, the list of allowable values can be found",Calculate_Business_Metadata[[#This Row],[List of Allowable Values]], 1))</f>
        <v>1</v>
      </c>
      <c r="V16" s="2" t="b">
        <f>ISERROR(FIND("list of allowable values",Calculate_Business_Metadata[[#This Row],[List of Allowable Values]], 1))</f>
        <v>1</v>
      </c>
      <c r="W16" s="2">
        <f t="shared" si="0"/>
        <v>1</v>
      </c>
      <c r="X16" s="2">
        <f>IF(ISBLANK(Calculate_Business_Metadata[[#This Row],[Sample Data]])=TRUE, 0, 1)</f>
        <v>1</v>
      </c>
      <c r="Y16" s="2">
        <f>IF(ISBLANK(Calculate_Business_Metadata[[#This Row],[Business Data Steward]])=TRUE, 0, 1)</f>
        <v>1</v>
      </c>
      <c r="Z16" s="2">
        <f>IF(ISBLANK(Calculate_Business_Metadata[[#This Row],[Data Owner]])=TRUE, 0, 1)</f>
        <v>1</v>
      </c>
      <c r="AA16" s="2">
        <f>IF(ISBLANK(Calculate_Business_Metadata[[#This Row],[Updated Date]])=TRUE, 0, 1)</f>
        <v>1</v>
      </c>
      <c r="AB16" s="2">
        <f>IF(ISBLANK(Calculate_Business_Metadata[[#This Row],[Updated By]])=TRUE, 0, 1)</f>
        <v>1</v>
      </c>
      <c r="AD16" s="2">
        <f>IF(OR(
ISERROR(FIND("  ",Calculate_Business_Metadata[[#This Row],[Business Attribute Name]], 1))=FALSE,
ISERROR(FIND("_",Calculate_Business_Metadata[[#This Row],[Business Attribute Name]], 1))=FALSE)=TRUE, 0, 1)</f>
        <v>1</v>
      </c>
      <c r="AE16" s="2">
        <f>IF(OR(
ISERROR(FIND("  ",Calculate_Business_Metadata[[#This Row],[Business Definition (EN)]], 1))=FALSE,
ISERROR(FIND("__",Calculate_Business_Metadata[[#This Row],[Business Definition (EN)]], 1))=FALSE)=TRUE, 0, 1)</f>
        <v>1</v>
      </c>
      <c r="AF16" s="2">
        <f>IF(OR(
ISERROR(FIND("  ",Calculate_Business_Metadata[[#This Row],[Column Name]], 1))=FALSE,
ISERROR(FIND("__",Calculate_Business_Metadata[[#This Row],[Column Name]], 1))=FALSE)=TRUE, 0, 1)</f>
        <v>1</v>
      </c>
      <c r="AG16" s="2">
        <f>IF(OR(
ISERROR(FIND("  ",Calculate_Business_Metadata[[#This Row],[Business Data Steward]], 1))=FALSE,
ISERROR(FIND("_",Calculate_Business_Metadata[[#This Row],[Business Data Steward]], 1))=FALSE)=TRUE, 0, 1)</f>
        <v>1</v>
      </c>
      <c r="AH16" s="2">
        <f>IF(OR(
ISERROR(FIND("  ",Calculate_Business_Metadata[[#This Row],[Data Owner]], 1))=FALSE,
ISERROR(FIND("_",Calculate_Business_Metadata[[#This Row],[Data Owner]], 1))=FALSE)=TRUE, 0, 1)</f>
        <v>1</v>
      </c>
      <c r="AI16" s="2">
        <f>IF(OR(
ISERROR(FIND("  ",Calculate_Business_Metadata[[#This Row],[Updated By]], 1))=FALSE,
ISERROR(FIND("_",Calculate_Business_Metadata[[#This Row],[Updated By]], 1))=FALSE)=TRUE, 0, 1)</f>
        <v>1</v>
      </c>
      <c r="AK16" s="2">
        <f>IF(OR(ISERROR(FIND("PII",Calculate_Business_Metadata[[#This Row],[PII/Non-PII]], 1))=FALSE, ISERROR(FIND("PII",Calculate_Business_Metadata[[#This Row],[PII/Non-PII]], 1))=FALSE)=TRUE, 1, 0)</f>
        <v>1</v>
      </c>
      <c r="AM16" s="2">
        <f>IF( COUNTIFS(B:B, Calculate_Business_Metadata[[#This Row],[Business Attribute Name]], D:D, Calculate_Business_Metadata[[#This Row],[Column Name]], L:L, Calculate_Business_Metadata[[#This Row],[Subdomain]]) &gt; 1, 0, 1)</f>
        <v>1</v>
      </c>
      <c r="AN16" s="2" t="str">
        <f>LEFT(Calculate_Business_Metadata[[#This Row],[Business Definition (EN)]], 150)</f>
        <v xml:space="preserve">Marital Status Code reflects an individual's marital status.
Current list of allowable values:
S = Single = โสด
M = Married = แต่งงาน
D = Divorced = </v>
      </c>
      <c r="AO16" s="2">
        <f ca="1">IF( COUNTIFS(AO:AO,AN16, B:B, Calculate_Business_Metadata[[#This Row],[Business Attribute Name]],L:L, Calculate_Business_Metadata[[#This Row],[Subdomain]]) &lt;&gt; 1, 0, 1)</f>
        <v>0</v>
      </c>
      <c r="AP16" s="2">
        <f>IF(COUNTIFS(B:B, Calculate_Business_Metadata[[#This Row],[Business Attribute Name]], D:D, Calculate_Business_Metadata[[#This Row],[Column Name]], AN:AN, AN16) &gt;1, 0, 1)</f>
        <v>1</v>
      </c>
      <c r="AR16" s="2">
        <f>IF(COUNTIFS('Cal_Technical - Column'!D:D, Calculate_Business_Metadata[[#This Row],[Column Name]])&gt; 0, 1, 0)</f>
        <v>1</v>
      </c>
    </row>
    <row r="17" spans="1:44" ht="350" x14ac:dyDescent="0.3">
      <c r="A17" s="74">
        <v>16</v>
      </c>
      <c r="B17" s="74" t="s">
        <v>153</v>
      </c>
      <c r="C17" s="1" t="s">
        <v>154</v>
      </c>
      <c r="D17" s="74" t="s">
        <v>75</v>
      </c>
      <c r="E17" s="74" t="s">
        <v>43</v>
      </c>
      <c r="F17" s="2" t="s">
        <v>155</v>
      </c>
      <c r="G17" s="74" t="s">
        <v>156</v>
      </c>
      <c r="H17" s="74" t="s">
        <v>113</v>
      </c>
      <c r="I17" s="74" t="s">
        <v>114</v>
      </c>
      <c r="J17" s="70">
        <v>45264</v>
      </c>
      <c r="K17" s="74" t="s">
        <v>57</v>
      </c>
      <c r="L17" s="74" t="s">
        <v>38</v>
      </c>
      <c r="M17"/>
      <c r="N17" s="2">
        <f>IF(ISBLANK(Calculate_Business_Metadata[[#This Row],[Business Attribute Name]])=TRUE, 0, 1)</f>
        <v>1</v>
      </c>
      <c r="O17" s="2">
        <f>IF(ISBLANK(Calculate_Business_Metadata[[#This Row],[Business Definition (EN)]])=TRUE, 0, 1)</f>
        <v>1</v>
      </c>
      <c r="P17" s="2">
        <f>IF(ISBLANK(Calculate_Business_Metadata[[#This Row],[Column Name]])=TRUE, 0, 1)</f>
        <v>1</v>
      </c>
      <c r="Q17" s="2">
        <f>IF(ISBLANK(Calculate_Business_Metadata[[#This Row],[PII/Non-PII]])=TRUE, 0, 1)</f>
        <v>1</v>
      </c>
      <c r="R17" s="2" t="b">
        <f>ISERROR(FIND("-", Calculate_Business_Metadata[[#This Row],[List of Allowable Values]]))</f>
        <v>1</v>
      </c>
      <c r="S17" s="2" t="b">
        <f>ISERROR(FIND("Flag",Calculate_Business_Metadata[[#This Row],[List of Allowable Values]], 1))</f>
        <v>1</v>
      </c>
      <c r="T17" s="2" t="b">
        <f>ISERROR(FIND("In this case, the list of allowable values can be contact",Calculate_Business_Metadata[[#This Row],[List of Allowable Values]], 1))</f>
        <v>1</v>
      </c>
      <c r="U17" s="2" t="b">
        <f>ISERROR(FIND("In this case, the list of allowable values can be found",Calculate_Business_Metadata[[#This Row],[List of Allowable Values]], 1))</f>
        <v>1</v>
      </c>
      <c r="V17" s="2" t="b">
        <f>ISERROR(FIND("list of allowable values",Calculate_Business_Metadata[[#This Row],[List of Allowable Values]], 1))</f>
        <v>1</v>
      </c>
      <c r="W17" s="2">
        <f t="shared" si="0"/>
        <v>1</v>
      </c>
      <c r="X17" s="2">
        <f>IF(ISBLANK(Calculate_Business_Metadata[[#This Row],[Sample Data]])=TRUE, 0, 1)</f>
        <v>1</v>
      </c>
      <c r="Y17" s="2">
        <f>IF(ISBLANK(Calculate_Business_Metadata[[#This Row],[Business Data Steward]])=TRUE, 0, 1)</f>
        <v>1</v>
      </c>
      <c r="Z17" s="2">
        <f>IF(ISBLANK(Calculate_Business_Metadata[[#This Row],[Data Owner]])=TRUE, 0, 1)</f>
        <v>1</v>
      </c>
      <c r="AA17" s="2">
        <f>IF(ISBLANK(Calculate_Business_Metadata[[#This Row],[Updated Date]])=TRUE, 0, 1)</f>
        <v>1</v>
      </c>
      <c r="AB17" s="2">
        <f>IF(ISBLANK(Calculate_Business_Metadata[[#This Row],[Updated By]])=TRUE, 0, 1)</f>
        <v>1</v>
      </c>
      <c r="AD17" s="2">
        <f>IF(OR(
ISERROR(FIND("  ",Calculate_Business_Metadata[[#This Row],[Business Attribute Name]], 1))=FALSE,
ISERROR(FIND("_",Calculate_Business_Metadata[[#This Row],[Business Attribute Name]], 1))=FALSE)=TRUE, 0, 1)</f>
        <v>1</v>
      </c>
      <c r="AE17" s="2">
        <f>IF(OR(
ISERROR(FIND("  ",Calculate_Business_Metadata[[#This Row],[Business Definition (EN)]], 1))=FALSE,
ISERROR(FIND("__",Calculate_Business_Metadata[[#This Row],[Business Definition (EN)]], 1))=FALSE)=TRUE, 0, 1)</f>
        <v>1</v>
      </c>
      <c r="AF17" s="2">
        <f>IF(OR(
ISERROR(FIND("  ",Calculate_Business_Metadata[[#This Row],[Column Name]], 1))=FALSE,
ISERROR(FIND("__",Calculate_Business_Metadata[[#This Row],[Column Name]], 1))=FALSE)=TRUE, 0, 1)</f>
        <v>1</v>
      </c>
      <c r="AG17" s="2">
        <f>IF(OR(
ISERROR(FIND("  ",Calculate_Business_Metadata[[#This Row],[Business Data Steward]], 1))=FALSE,
ISERROR(FIND("_",Calculate_Business_Metadata[[#This Row],[Business Data Steward]], 1))=FALSE)=TRUE, 0, 1)</f>
        <v>1</v>
      </c>
      <c r="AH17" s="2">
        <f>IF(OR(
ISERROR(FIND("  ",Calculate_Business_Metadata[[#This Row],[Data Owner]], 1))=FALSE,
ISERROR(FIND("_",Calculate_Business_Metadata[[#This Row],[Data Owner]], 1))=FALSE)=TRUE, 0, 1)</f>
        <v>1</v>
      </c>
      <c r="AI17" s="2">
        <f>IF(OR(
ISERROR(FIND("  ",Calculate_Business_Metadata[[#This Row],[Updated By]], 1))=FALSE,
ISERROR(FIND("_",Calculate_Business_Metadata[[#This Row],[Updated By]], 1))=FALSE)=TRUE, 0, 1)</f>
        <v>1</v>
      </c>
      <c r="AK17" s="2">
        <f>IF(OR(ISERROR(FIND("PII",Calculate_Business_Metadata[[#This Row],[PII/Non-PII]], 1))=FALSE, ISERROR(FIND("PII",Calculate_Business_Metadata[[#This Row],[PII/Non-PII]], 1))=FALSE)=TRUE, 1, 0)</f>
        <v>1</v>
      </c>
      <c r="AM17" s="2">
        <f>IF( COUNTIFS(B:B, Calculate_Business_Metadata[[#This Row],[Business Attribute Name]], D:D, Calculate_Business_Metadata[[#This Row],[Column Name]], L:L, Calculate_Business_Metadata[[#This Row],[Subdomain]]) &gt; 1, 0, 1)</f>
        <v>1</v>
      </c>
      <c r="AN17" s="2" t="str">
        <f>LEFT(Calculate_Business_Metadata[[#This Row],[Business Definition (EN)]], 150)</f>
        <v>Occupation Identifier (ID) is the customer's occupational code and is related to the occupational category. Because occupational codes can expand occu</v>
      </c>
      <c r="AO17" s="2">
        <f ca="1">IF( COUNTIFS(AO:AO,AN17, B:B, Calculate_Business_Metadata[[#This Row],[Business Attribute Name]],L:L, Calculate_Business_Metadata[[#This Row],[Subdomain]]) &lt;&gt; 1, 0, 1)</f>
        <v>0</v>
      </c>
      <c r="AP17" s="2">
        <f>IF(COUNTIFS(B:B, Calculate_Business_Metadata[[#This Row],[Business Attribute Name]], D:D, Calculate_Business_Metadata[[#This Row],[Column Name]], AN:AN, AN17) &gt;1, 0, 1)</f>
        <v>1</v>
      </c>
      <c r="AR17" s="2">
        <f>IF(COUNTIFS('Cal_Technical - Column'!D:D, Calculate_Business_Metadata[[#This Row],[Column Name]])&gt; 0, 1, 0)</f>
        <v>1</v>
      </c>
    </row>
    <row r="18" spans="1:44" ht="140" x14ac:dyDescent="0.3">
      <c r="A18" s="74">
        <v>17</v>
      </c>
      <c r="B18" s="74" t="s">
        <v>157</v>
      </c>
      <c r="C18" s="1" t="s">
        <v>158</v>
      </c>
      <c r="D18" s="74" t="s">
        <v>79</v>
      </c>
      <c r="E18" s="74" t="s">
        <v>43</v>
      </c>
      <c r="F18" s="2" t="s">
        <v>47</v>
      </c>
      <c r="G18" s="74" t="s">
        <v>159</v>
      </c>
      <c r="H18" s="74" t="s">
        <v>113</v>
      </c>
      <c r="I18" s="74" t="s">
        <v>114</v>
      </c>
      <c r="J18" s="70">
        <v>45264</v>
      </c>
      <c r="K18" s="74" t="s">
        <v>57</v>
      </c>
      <c r="L18" s="74" t="s">
        <v>38</v>
      </c>
      <c r="M18"/>
      <c r="N18" s="2">
        <f>IF(ISBLANK(Calculate_Business_Metadata[[#This Row],[Business Attribute Name]])=TRUE, 0, 1)</f>
        <v>1</v>
      </c>
      <c r="O18" s="2">
        <f>IF(ISBLANK(Calculate_Business_Metadata[[#This Row],[Business Definition (EN)]])=TRUE, 0, 1)</f>
        <v>1</v>
      </c>
      <c r="P18" s="2">
        <f>IF(ISBLANK(Calculate_Business_Metadata[[#This Row],[Column Name]])=TRUE, 0, 1)</f>
        <v>1</v>
      </c>
      <c r="Q18" s="2">
        <f>IF(ISBLANK(Calculate_Business_Metadata[[#This Row],[PII/Non-PII]])=TRUE, 0, 1)</f>
        <v>1</v>
      </c>
      <c r="R18" s="2" t="b">
        <f>ISERROR(FIND("-", Calculate_Business_Metadata[[#This Row],[List of Allowable Values]]))</f>
        <v>0</v>
      </c>
      <c r="S18" s="2" t="b">
        <f>ISERROR(FIND("Flag",Calculate_Business_Metadata[[#This Row],[List of Allowable Values]], 1))</f>
        <v>1</v>
      </c>
      <c r="T18" s="2" t="b">
        <f>ISERROR(FIND("In this case, the list of allowable values can be contact",Calculate_Business_Metadata[[#This Row],[List of Allowable Values]], 1))</f>
        <v>1</v>
      </c>
      <c r="U18" s="2" t="b">
        <f>ISERROR(FIND("In this case, the list of allowable values can be found",Calculate_Business_Metadata[[#This Row],[List of Allowable Values]], 1))</f>
        <v>1</v>
      </c>
      <c r="V18" s="2" t="b">
        <f>ISERROR(FIND("list of allowable values",Calculate_Business_Metadata[[#This Row],[List of Allowable Values]], 1))</f>
        <v>1</v>
      </c>
      <c r="W18" s="2">
        <f t="shared" si="0"/>
        <v>1</v>
      </c>
      <c r="X18" s="2">
        <f>IF(ISBLANK(Calculate_Business_Metadata[[#This Row],[Sample Data]])=TRUE, 0, 1)</f>
        <v>1</v>
      </c>
      <c r="Y18" s="2">
        <f>IF(ISBLANK(Calculate_Business_Metadata[[#This Row],[Business Data Steward]])=TRUE, 0, 1)</f>
        <v>1</v>
      </c>
      <c r="Z18" s="2">
        <f>IF(ISBLANK(Calculate_Business_Metadata[[#This Row],[Data Owner]])=TRUE, 0, 1)</f>
        <v>1</v>
      </c>
      <c r="AA18" s="2">
        <f>IF(ISBLANK(Calculate_Business_Metadata[[#This Row],[Updated Date]])=TRUE, 0, 1)</f>
        <v>1</v>
      </c>
      <c r="AB18" s="2">
        <f>IF(ISBLANK(Calculate_Business_Metadata[[#This Row],[Updated By]])=TRUE, 0, 1)</f>
        <v>1</v>
      </c>
      <c r="AD18" s="2">
        <f>IF(OR(
ISERROR(FIND("  ",Calculate_Business_Metadata[[#This Row],[Business Attribute Name]], 1))=FALSE,
ISERROR(FIND("_",Calculate_Business_Metadata[[#This Row],[Business Attribute Name]], 1))=FALSE)=TRUE, 0, 1)</f>
        <v>1</v>
      </c>
      <c r="AE18" s="2">
        <f>IF(OR(
ISERROR(FIND("  ",Calculate_Business_Metadata[[#This Row],[Business Definition (EN)]], 1))=FALSE,
ISERROR(FIND("__",Calculate_Business_Metadata[[#This Row],[Business Definition (EN)]], 1))=FALSE)=TRUE, 0, 1)</f>
        <v>1</v>
      </c>
      <c r="AF18" s="2">
        <f>IF(OR(
ISERROR(FIND("  ",Calculate_Business_Metadata[[#This Row],[Column Name]], 1))=FALSE,
ISERROR(FIND("__",Calculate_Business_Metadata[[#This Row],[Column Name]], 1))=FALSE)=TRUE, 0, 1)</f>
        <v>1</v>
      </c>
      <c r="AG18" s="2">
        <f>IF(OR(
ISERROR(FIND("  ",Calculate_Business_Metadata[[#This Row],[Business Data Steward]], 1))=FALSE,
ISERROR(FIND("_",Calculate_Business_Metadata[[#This Row],[Business Data Steward]], 1))=FALSE)=TRUE, 0, 1)</f>
        <v>1</v>
      </c>
      <c r="AH18" s="2">
        <f>IF(OR(
ISERROR(FIND("  ",Calculate_Business_Metadata[[#This Row],[Data Owner]], 1))=FALSE,
ISERROR(FIND("_",Calculate_Business_Metadata[[#This Row],[Data Owner]], 1))=FALSE)=TRUE, 0, 1)</f>
        <v>1</v>
      </c>
      <c r="AI18" s="2">
        <f>IF(OR(
ISERROR(FIND("  ",Calculate_Business_Metadata[[#This Row],[Updated By]], 1))=FALSE,
ISERROR(FIND("_",Calculate_Business_Metadata[[#This Row],[Updated By]], 1))=FALSE)=TRUE, 0, 1)</f>
        <v>1</v>
      </c>
      <c r="AK18" s="2">
        <f>IF(OR(ISERROR(FIND("PII",Calculate_Business_Metadata[[#This Row],[PII/Non-PII]], 1))=FALSE, ISERROR(FIND("PII",Calculate_Business_Metadata[[#This Row],[PII/Non-PII]], 1))=FALSE)=TRUE, 1, 0)</f>
        <v>1</v>
      </c>
      <c r="AM18" s="2">
        <f>IF( COUNTIFS(B:B, Calculate_Business_Metadata[[#This Row],[Business Attribute Name]], D:D, Calculate_Business_Metadata[[#This Row],[Column Name]], L:L, Calculate_Business_Metadata[[#This Row],[Subdomain]]) &gt; 1, 0, 1)</f>
        <v>1</v>
      </c>
      <c r="AN18" s="2" t="str">
        <f>LEFT(Calculate_Business_Metadata[[#This Row],[Business Definition (EN)]], 150)</f>
        <v>Additional career description In case the customer specifies Other occupation in the occupation_id field.
คำอธิบายอาชีพเพิ่มเติม กรณีลูกค้าระบุอาชีพอื</v>
      </c>
      <c r="AO18" s="2">
        <f ca="1">IF( COUNTIFS(AO:AO,AN18, B:B, Calculate_Business_Metadata[[#This Row],[Business Attribute Name]],L:L, Calculate_Business_Metadata[[#This Row],[Subdomain]]) &lt;&gt; 1, 0, 1)</f>
        <v>0</v>
      </c>
      <c r="AP18" s="2">
        <f>IF(COUNTIFS(B:B, Calculate_Business_Metadata[[#This Row],[Business Attribute Name]], D:D, Calculate_Business_Metadata[[#This Row],[Column Name]], AN:AN, AN18) &gt;1, 0, 1)</f>
        <v>1</v>
      </c>
      <c r="AR18" s="2">
        <f>IF(COUNTIFS('Cal_Technical - Column'!D:D, Calculate_Business_Metadata[[#This Row],[Column Name]])&gt; 0, 1, 0)</f>
        <v>1</v>
      </c>
    </row>
    <row r="19" spans="1:44" ht="182" x14ac:dyDescent="0.3">
      <c r="A19" s="74">
        <v>18</v>
      </c>
      <c r="B19" s="74" t="s">
        <v>160</v>
      </c>
      <c r="C19" s="1" t="s">
        <v>161</v>
      </c>
      <c r="D19" s="74" t="s">
        <v>80</v>
      </c>
      <c r="E19" s="74" t="s">
        <v>43</v>
      </c>
      <c r="F19" s="2" t="s">
        <v>162</v>
      </c>
      <c r="G19" s="74" t="s">
        <v>163</v>
      </c>
      <c r="H19" s="74" t="s">
        <v>113</v>
      </c>
      <c r="I19" s="74" t="s">
        <v>114</v>
      </c>
      <c r="J19" s="70">
        <v>45264</v>
      </c>
      <c r="K19" s="74" t="s">
        <v>57</v>
      </c>
      <c r="L19" s="74" t="s">
        <v>38</v>
      </c>
      <c r="M19"/>
      <c r="N19" s="2">
        <f>IF(ISBLANK(Calculate_Business_Metadata[[#This Row],[Business Attribute Name]])=TRUE, 0, 1)</f>
        <v>1</v>
      </c>
      <c r="O19" s="2">
        <f>IF(ISBLANK(Calculate_Business_Metadata[[#This Row],[Business Definition (EN)]])=TRUE, 0, 1)</f>
        <v>1</v>
      </c>
      <c r="P19" s="2">
        <f>IF(ISBLANK(Calculate_Business_Metadata[[#This Row],[Column Name]])=TRUE, 0, 1)</f>
        <v>1</v>
      </c>
      <c r="Q19" s="2">
        <f>IF(ISBLANK(Calculate_Business_Metadata[[#This Row],[PII/Non-PII]])=TRUE, 0, 1)</f>
        <v>1</v>
      </c>
      <c r="R19" s="2" t="b">
        <f>ISERROR(FIND("-", Calculate_Business_Metadata[[#This Row],[List of Allowable Values]]))</f>
        <v>1</v>
      </c>
      <c r="S19" s="2" t="b">
        <f>ISERROR(FIND("Flag",Calculate_Business_Metadata[[#This Row],[List of Allowable Values]], 1))</f>
        <v>1</v>
      </c>
      <c r="T19" s="2" t="b">
        <f>ISERROR(FIND("In this case, the list of allowable values can be contact",Calculate_Business_Metadata[[#This Row],[List of Allowable Values]], 1))</f>
        <v>1</v>
      </c>
      <c r="U19" s="2" t="b">
        <f>ISERROR(FIND("In this case, the list of allowable values can be found",Calculate_Business_Metadata[[#This Row],[List of Allowable Values]], 1))</f>
        <v>1</v>
      </c>
      <c r="V19" s="2" t="b">
        <f>ISERROR(FIND("list of allowable values",Calculate_Business_Metadata[[#This Row],[List of Allowable Values]], 1))</f>
        <v>1</v>
      </c>
      <c r="W19" s="2">
        <f t="shared" si="0"/>
        <v>1</v>
      </c>
      <c r="X19" s="2">
        <f>IF(ISBLANK(Calculate_Business_Metadata[[#This Row],[Sample Data]])=TRUE, 0, 1)</f>
        <v>1</v>
      </c>
      <c r="Y19" s="2">
        <f>IF(ISBLANK(Calculate_Business_Metadata[[#This Row],[Business Data Steward]])=TRUE, 0, 1)</f>
        <v>1</v>
      </c>
      <c r="Z19" s="2">
        <f>IF(ISBLANK(Calculate_Business_Metadata[[#This Row],[Data Owner]])=TRUE, 0, 1)</f>
        <v>1</v>
      </c>
      <c r="AA19" s="2">
        <f>IF(ISBLANK(Calculate_Business_Metadata[[#This Row],[Updated Date]])=TRUE, 0, 1)</f>
        <v>1</v>
      </c>
      <c r="AB19" s="2">
        <f>IF(ISBLANK(Calculate_Business_Metadata[[#This Row],[Updated By]])=TRUE, 0, 1)</f>
        <v>1</v>
      </c>
      <c r="AD19" s="2">
        <f>IF(OR(
ISERROR(FIND("  ",Calculate_Business_Metadata[[#This Row],[Business Attribute Name]], 1))=FALSE,
ISERROR(FIND("_",Calculate_Business_Metadata[[#This Row],[Business Attribute Name]], 1))=FALSE)=TRUE, 0, 1)</f>
        <v>1</v>
      </c>
      <c r="AE19" s="2">
        <f>IF(OR(
ISERROR(FIND("  ",Calculate_Business_Metadata[[#This Row],[Business Definition (EN)]], 1))=FALSE,
ISERROR(FIND("__",Calculate_Business_Metadata[[#This Row],[Business Definition (EN)]], 1))=FALSE)=TRUE, 0, 1)</f>
        <v>1</v>
      </c>
      <c r="AF19" s="2">
        <f>IF(OR(
ISERROR(FIND("  ",Calculate_Business_Metadata[[#This Row],[Column Name]], 1))=FALSE,
ISERROR(FIND("__",Calculate_Business_Metadata[[#This Row],[Column Name]], 1))=FALSE)=TRUE, 0, 1)</f>
        <v>1</v>
      </c>
      <c r="AG19" s="2">
        <f>IF(OR(
ISERROR(FIND("  ",Calculate_Business_Metadata[[#This Row],[Business Data Steward]], 1))=FALSE,
ISERROR(FIND("_",Calculate_Business_Metadata[[#This Row],[Business Data Steward]], 1))=FALSE)=TRUE, 0, 1)</f>
        <v>1</v>
      </c>
      <c r="AH19" s="2">
        <f>IF(OR(
ISERROR(FIND("  ",Calculate_Business_Metadata[[#This Row],[Data Owner]], 1))=FALSE,
ISERROR(FIND("_",Calculate_Business_Metadata[[#This Row],[Data Owner]], 1))=FALSE)=TRUE, 0, 1)</f>
        <v>1</v>
      </c>
      <c r="AI19" s="2">
        <f>IF(OR(
ISERROR(FIND("  ",Calculate_Business_Metadata[[#This Row],[Updated By]], 1))=FALSE,
ISERROR(FIND("_",Calculate_Business_Metadata[[#This Row],[Updated By]], 1))=FALSE)=TRUE, 0, 1)</f>
        <v>1</v>
      </c>
      <c r="AK19" s="2">
        <f>IF(OR(ISERROR(FIND("PII",Calculate_Business_Metadata[[#This Row],[PII/Non-PII]], 1))=FALSE, ISERROR(FIND("PII",Calculate_Business_Metadata[[#This Row],[PII/Non-PII]], 1))=FALSE)=TRUE, 1, 0)</f>
        <v>1</v>
      </c>
      <c r="AM19" s="2">
        <f>IF( COUNTIFS(B:B, Calculate_Business_Metadata[[#This Row],[Business Attribute Name]], D:D, Calculate_Business_Metadata[[#This Row],[Column Name]], L:L, Calculate_Business_Metadata[[#This Row],[Subdomain]]) &gt; 1, 0, 1)</f>
        <v>1</v>
      </c>
      <c r="AN19" s="2" t="str">
        <f>LEFT(Calculate_Business_Metadata[[#This Row],[Business Definition (EN)]], 150)</f>
        <v>Business type identity document code(ID) is a number assigned to a corporate entity to identify it as a legally organized business in which the custom</v>
      </c>
      <c r="AO19" s="2">
        <f ca="1">IF( COUNTIFS(AO:AO,AN19, B:B, Calculate_Business_Metadata[[#This Row],[Business Attribute Name]],L:L, Calculate_Business_Metadata[[#This Row],[Subdomain]]) &lt;&gt; 1, 0, 1)</f>
        <v>0</v>
      </c>
      <c r="AP19" s="2">
        <f>IF(COUNTIFS(B:B, Calculate_Business_Metadata[[#This Row],[Business Attribute Name]], D:D, Calculate_Business_Metadata[[#This Row],[Column Name]], AN:AN, AN19) &gt;1, 0, 1)</f>
        <v>1</v>
      </c>
      <c r="AR19" s="2">
        <f>IF(COUNTIFS('Cal_Technical - Column'!D:D, Calculate_Business_Metadata[[#This Row],[Column Name]])&gt; 0, 1, 0)</f>
        <v>1</v>
      </c>
    </row>
    <row r="20" spans="1:44" ht="98" x14ac:dyDescent="0.3">
      <c r="A20" s="74">
        <v>19</v>
      </c>
      <c r="B20" s="74" t="s">
        <v>164</v>
      </c>
      <c r="C20" s="1" t="s">
        <v>165</v>
      </c>
      <c r="D20" s="74" t="s">
        <v>81</v>
      </c>
      <c r="E20" s="74" t="s">
        <v>43</v>
      </c>
      <c r="F20" s="2" t="s">
        <v>47</v>
      </c>
      <c r="G20" s="74" t="s">
        <v>166</v>
      </c>
      <c r="H20" s="74" t="s">
        <v>113</v>
      </c>
      <c r="I20" s="74" t="s">
        <v>114</v>
      </c>
      <c r="J20" s="70">
        <v>45264</v>
      </c>
      <c r="K20" s="74" t="s">
        <v>57</v>
      </c>
      <c r="L20" s="74" t="s">
        <v>38</v>
      </c>
      <c r="M20"/>
      <c r="N20" s="2">
        <f>IF(ISBLANK(Calculate_Business_Metadata[[#This Row],[Business Attribute Name]])=TRUE, 0, 1)</f>
        <v>1</v>
      </c>
      <c r="O20" s="2">
        <f>IF(ISBLANK(Calculate_Business_Metadata[[#This Row],[Business Definition (EN)]])=TRUE, 0, 1)</f>
        <v>1</v>
      </c>
      <c r="P20" s="2">
        <f>IF(ISBLANK(Calculate_Business_Metadata[[#This Row],[Column Name]])=TRUE, 0, 1)</f>
        <v>1</v>
      </c>
      <c r="Q20" s="2">
        <f>IF(ISBLANK(Calculate_Business_Metadata[[#This Row],[PII/Non-PII]])=TRUE, 0, 1)</f>
        <v>1</v>
      </c>
      <c r="R20" s="2" t="b">
        <f>ISERROR(FIND("-", Calculate_Business_Metadata[[#This Row],[List of Allowable Values]]))</f>
        <v>0</v>
      </c>
      <c r="S20" s="2" t="b">
        <f>ISERROR(FIND("Flag",Calculate_Business_Metadata[[#This Row],[List of Allowable Values]], 1))</f>
        <v>1</v>
      </c>
      <c r="T20" s="2" t="b">
        <f>ISERROR(FIND("In this case, the list of allowable values can be contact",Calculate_Business_Metadata[[#This Row],[List of Allowable Values]], 1))</f>
        <v>1</v>
      </c>
      <c r="U20" s="2" t="b">
        <f>ISERROR(FIND("In this case, the list of allowable values can be found",Calculate_Business_Metadata[[#This Row],[List of Allowable Values]], 1))</f>
        <v>1</v>
      </c>
      <c r="V20" s="2" t="b">
        <f>ISERROR(FIND("list of allowable values",Calculate_Business_Metadata[[#This Row],[List of Allowable Values]], 1))</f>
        <v>1</v>
      </c>
      <c r="W20" s="2">
        <f t="shared" si="0"/>
        <v>1</v>
      </c>
      <c r="X20" s="2">
        <f>IF(ISBLANK(Calculate_Business_Metadata[[#This Row],[Sample Data]])=TRUE, 0, 1)</f>
        <v>1</v>
      </c>
      <c r="Y20" s="2">
        <f>IF(ISBLANK(Calculate_Business_Metadata[[#This Row],[Business Data Steward]])=TRUE, 0, 1)</f>
        <v>1</v>
      </c>
      <c r="Z20" s="2">
        <f>IF(ISBLANK(Calculate_Business_Metadata[[#This Row],[Data Owner]])=TRUE, 0, 1)</f>
        <v>1</v>
      </c>
      <c r="AA20" s="2">
        <f>IF(ISBLANK(Calculate_Business_Metadata[[#This Row],[Updated Date]])=TRUE, 0, 1)</f>
        <v>1</v>
      </c>
      <c r="AB20" s="2">
        <f>IF(ISBLANK(Calculate_Business_Metadata[[#This Row],[Updated By]])=TRUE, 0, 1)</f>
        <v>1</v>
      </c>
      <c r="AD20" s="2">
        <f>IF(OR(
ISERROR(FIND("  ",Calculate_Business_Metadata[[#This Row],[Business Attribute Name]], 1))=FALSE,
ISERROR(FIND("_",Calculate_Business_Metadata[[#This Row],[Business Attribute Name]], 1))=FALSE)=TRUE, 0, 1)</f>
        <v>1</v>
      </c>
      <c r="AE20" s="2">
        <f>IF(OR(
ISERROR(FIND("  ",Calculate_Business_Metadata[[#This Row],[Business Definition (EN)]], 1))=FALSE,
ISERROR(FIND("__",Calculate_Business_Metadata[[#This Row],[Business Definition (EN)]], 1))=FALSE)=TRUE, 0, 1)</f>
        <v>1</v>
      </c>
      <c r="AF20" s="2">
        <f>IF(OR(
ISERROR(FIND("  ",Calculate_Business_Metadata[[#This Row],[Column Name]], 1))=FALSE,
ISERROR(FIND("__",Calculate_Business_Metadata[[#This Row],[Column Name]], 1))=FALSE)=TRUE, 0, 1)</f>
        <v>1</v>
      </c>
      <c r="AG20" s="2">
        <f>IF(OR(
ISERROR(FIND("  ",Calculate_Business_Metadata[[#This Row],[Business Data Steward]], 1))=FALSE,
ISERROR(FIND("_",Calculate_Business_Metadata[[#This Row],[Business Data Steward]], 1))=FALSE)=TRUE, 0, 1)</f>
        <v>1</v>
      </c>
      <c r="AH20" s="2">
        <f>IF(OR(
ISERROR(FIND("  ",Calculate_Business_Metadata[[#This Row],[Data Owner]], 1))=FALSE,
ISERROR(FIND("_",Calculate_Business_Metadata[[#This Row],[Data Owner]], 1))=FALSE)=TRUE, 0, 1)</f>
        <v>1</v>
      </c>
      <c r="AI20" s="2">
        <f>IF(OR(
ISERROR(FIND("  ",Calculate_Business_Metadata[[#This Row],[Updated By]], 1))=FALSE,
ISERROR(FIND("_",Calculate_Business_Metadata[[#This Row],[Updated By]], 1))=FALSE)=TRUE, 0, 1)</f>
        <v>1</v>
      </c>
      <c r="AK20" s="2">
        <f>IF(OR(ISERROR(FIND("PII",Calculate_Business_Metadata[[#This Row],[PII/Non-PII]], 1))=FALSE, ISERROR(FIND("PII",Calculate_Business_Metadata[[#This Row],[PII/Non-PII]], 1))=FALSE)=TRUE, 1, 0)</f>
        <v>1</v>
      </c>
      <c r="AM20" s="2">
        <f>IF( COUNTIFS(B:B, Calculate_Business_Metadata[[#This Row],[Business Attribute Name]], D:D, Calculate_Business_Metadata[[#This Row],[Column Name]], L:L, Calculate_Business_Metadata[[#This Row],[Subdomain]]) &gt; 1, 0, 1)</f>
        <v>1</v>
      </c>
      <c r="AN20" s="2" t="str">
        <f>LEFT(Calculate_Business_Metadata[[#This Row],[Business Definition (EN)]], 150)</f>
        <v>Additional business type description In the case where the customer specifies the business type as Other in the business_type_id field</v>
      </c>
      <c r="AO20" s="2">
        <f ca="1">IF( COUNTIFS(AO:AO,AN20, B:B, Calculate_Business_Metadata[[#This Row],[Business Attribute Name]],L:L, Calculate_Business_Metadata[[#This Row],[Subdomain]]) &lt;&gt; 1, 0, 1)</f>
        <v>0</v>
      </c>
      <c r="AP20" s="2">
        <f>IF(COUNTIFS(B:B, Calculate_Business_Metadata[[#This Row],[Business Attribute Name]], D:D, Calculate_Business_Metadata[[#This Row],[Column Name]], AN:AN, AN20) &gt;1, 0, 1)</f>
        <v>1</v>
      </c>
      <c r="AR20" s="2">
        <f>IF(COUNTIFS('Cal_Technical - Column'!D:D, Calculate_Business_Metadata[[#This Row],[Column Name]])&gt; 0, 1, 0)</f>
        <v>1</v>
      </c>
    </row>
    <row r="21" spans="1:44" ht="98" x14ac:dyDescent="0.3">
      <c r="A21" s="74">
        <v>20</v>
      </c>
      <c r="B21" s="74" t="s">
        <v>167</v>
      </c>
      <c r="C21" s="1" t="s">
        <v>168</v>
      </c>
      <c r="D21" s="74" t="s">
        <v>82</v>
      </c>
      <c r="E21" s="74" t="s">
        <v>43</v>
      </c>
      <c r="F21" s="2" t="s">
        <v>47</v>
      </c>
      <c r="G21" s="74" t="s">
        <v>169</v>
      </c>
      <c r="H21" s="74" t="s">
        <v>113</v>
      </c>
      <c r="I21" s="74" t="s">
        <v>114</v>
      </c>
      <c r="J21" s="70">
        <v>45264</v>
      </c>
      <c r="K21" s="74" t="s">
        <v>57</v>
      </c>
      <c r="L21" s="74" t="s">
        <v>38</v>
      </c>
      <c r="N21" s="2">
        <f>IF(ISBLANK(Calculate_Business_Metadata[[#This Row],[Business Attribute Name]])=TRUE, 0, 1)</f>
        <v>1</v>
      </c>
      <c r="O21" s="2">
        <f>IF(ISBLANK(Calculate_Business_Metadata[[#This Row],[Business Definition (EN)]])=TRUE, 0, 1)</f>
        <v>1</v>
      </c>
      <c r="P21" s="2">
        <f>IF(ISBLANK(Calculate_Business_Metadata[[#This Row],[Column Name]])=TRUE, 0, 1)</f>
        <v>1</v>
      </c>
      <c r="Q21" s="2">
        <f>IF(ISBLANK(Calculate_Business_Metadata[[#This Row],[PII/Non-PII]])=TRUE, 0, 1)</f>
        <v>1</v>
      </c>
      <c r="R21" s="2" t="b">
        <f>ISERROR(FIND("-", Calculate_Business_Metadata[[#This Row],[List of Allowable Values]]))</f>
        <v>0</v>
      </c>
      <c r="S21" s="2" t="b">
        <f>ISERROR(FIND("Flag",Calculate_Business_Metadata[[#This Row],[List of Allowable Values]], 1))</f>
        <v>1</v>
      </c>
      <c r="T21" s="2" t="b">
        <f>ISERROR(FIND("In this case, the list of allowable values can be contact",Calculate_Business_Metadata[[#This Row],[List of Allowable Values]], 1))</f>
        <v>1</v>
      </c>
      <c r="U21" s="2" t="b">
        <f>ISERROR(FIND("In this case, the list of allowable values can be found",Calculate_Business_Metadata[[#This Row],[List of Allowable Values]], 1))</f>
        <v>1</v>
      </c>
      <c r="V21" s="2" t="b">
        <f>ISERROR(FIND("list of allowable values",Calculate_Business_Metadata[[#This Row],[List of Allowable Values]], 1))</f>
        <v>1</v>
      </c>
      <c r="W21" s="2">
        <f t="shared" si="0"/>
        <v>1</v>
      </c>
      <c r="X21" s="2">
        <f>IF(ISBLANK(Calculate_Business_Metadata[[#This Row],[Sample Data]])=TRUE, 0, 1)</f>
        <v>1</v>
      </c>
      <c r="Y21" s="2">
        <f>IF(ISBLANK(Calculate_Business_Metadata[[#This Row],[Business Data Steward]])=TRUE, 0, 1)</f>
        <v>1</v>
      </c>
      <c r="Z21" s="2">
        <f>IF(ISBLANK(Calculate_Business_Metadata[[#This Row],[Data Owner]])=TRUE, 0, 1)</f>
        <v>1</v>
      </c>
      <c r="AA21" s="2">
        <f>IF(ISBLANK(Calculate_Business_Metadata[[#This Row],[Updated Date]])=TRUE, 0, 1)</f>
        <v>1</v>
      </c>
      <c r="AB21" s="2">
        <f>IF(ISBLANK(Calculate_Business_Metadata[[#This Row],[Updated By]])=TRUE, 0, 1)</f>
        <v>1</v>
      </c>
      <c r="AD21" s="2">
        <f>IF(OR(
ISERROR(FIND("  ",Calculate_Business_Metadata[[#This Row],[Business Attribute Name]], 1))=FALSE,
ISERROR(FIND("_",Calculate_Business_Metadata[[#This Row],[Business Attribute Name]], 1))=FALSE)=TRUE, 0, 1)</f>
        <v>1</v>
      </c>
      <c r="AE21" s="2">
        <f>IF(OR(
ISERROR(FIND("  ",Calculate_Business_Metadata[[#This Row],[Business Definition (EN)]], 1))=FALSE,
ISERROR(FIND("__",Calculate_Business_Metadata[[#This Row],[Business Definition (EN)]], 1))=FALSE)=TRUE, 0, 1)</f>
        <v>1</v>
      </c>
      <c r="AF21" s="2">
        <f>IF(OR(
ISERROR(FIND("  ",Calculate_Business_Metadata[[#This Row],[Column Name]], 1))=FALSE,
ISERROR(FIND("__",Calculate_Business_Metadata[[#This Row],[Column Name]], 1))=FALSE)=TRUE, 0, 1)</f>
        <v>1</v>
      </c>
      <c r="AG21" s="2">
        <f>IF(OR(
ISERROR(FIND("  ",Calculate_Business_Metadata[[#This Row],[Business Data Steward]], 1))=FALSE,
ISERROR(FIND("_",Calculate_Business_Metadata[[#This Row],[Business Data Steward]], 1))=FALSE)=TRUE, 0, 1)</f>
        <v>1</v>
      </c>
      <c r="AH21" s="2">
        <f>IF(OR(
ISERROR(FIND("  ",Calculate_Business_Metadata[[#This Row],[Data Owner]], 1))=FALSE,
ISERROR(FIND("_",Calculate_Business_Metadata[[#This Row],[Data Owner]], 1))=FALSE)=TRUE, 0, 1)</f>
        <v>1</v>
      </c>
      <c r="AI21" s="2">
        <f>IF(OR(
ISERROR(FIND("  ",Calculate_Business_Metadata[[#This Row],[Updated By]], 1))=FALSE,
ISERROR(FIND("_",Calculate_Business_Metadata[[#This Row],[Updated By]], 1))=FALSE)=TRUE, 0, 1)</f>
        <v>1</v>
      </c>
      <c r="AK21" s="2">
        <f>IF(OR(ISERROR(FIND("PII",Calculate_Business_Metadata[[#This Row],[PII/Non-PII]], 1))=FALSE, ISERROR(FIND("PII",Calculate_Business_Metadata[[#This Row],[PII/Non-PII]], 1))=FALSE)=TRUE, 1, 0)</f>
        <v>1</v>
      </c>
      <c r="AM21" s="2">
        <f>IF( COUNTIFS(B:B, Calculate_Business_Metadata[[#This Row],[Business Attribute Name]], D:D, Calculate_Business_Metadata[[#This Row],[Column Name]], L:L, Calculate_Business_Metadata[[#This Row],[Subdomain]]) &gt; 1, 0, 1)</f>
        <v>1</v>
      </c>
      <c r="AN21" s="2" t="str">
        <f>LEFT(Calculate_Business_Metadata[[#This Row],[Business Definition (EN)]], 150)</f>
        <v>Sources of income refer to various methods. Where a person generates income and assets to achieve their financial goals to invest</v>
      </c>
      <c r="AO21" s="2">
        <f ca="1">IF( COUNTIFS(AO:AO,AN21, B:B, Calculate_Business_Metadata[[#This Row],[Business Attribute Name]],L:L, Calculate_Business_Metadata[[#This Row],[Subdomain]]) &lt;&gt; 1, 0, 1)</f>
        <v>0</v>
      </c>
      <c r="AP21" s="2">
        <f>IF(COUNTIFS(B:B, Calculate_Business_Metadata[[#This Row],[Business Attribute Name]], D:D, Calculate_Business_Metadata[[#This Row],[Column Name]], AN:AN, AN21) &gt;1, 0, 1)</f>
        <v>1</v>
      </c>
      <c r="AR21" s="2">
        <f>IF(COUNTIFS('Cal_Technical - Column'!D:D, Calculate_Business_Metadata[[#This Row],[Column Name]])&gt; 0, 1, 0)</f>
        <v>1</v>
      </c>
    </row>
    <row r="22" spans="1:44" ht="154" x14ac:dyDescent="0.3">
      <c r="A22" s="74">
        <v>21</v>
      </c>
      <c r="B22" s="74" t="s">
        <v>170</v>
      </c>
      <c r="C22" s="1" t="s">
        <v>171</v>
      </c>
      <c r="D22" s="74" t="s">
        <v>83</v>
      </c>
      <c r="E22" s="74" t="s">
        <v>43</v>
      </c>
      <c r="F22" s="2" t="s">
        <v>47</v>
      </c>
      <c r="G22" s="74" t="s">
        <v>172</v>
      </c>
      <c r="H22" s="74" t="s">
        <v>113</v>
      </c>
      <c r="I22" s="74" t="s">
        <v>114</v>
      </c>
      <c r="J22" s="70">
        <v>45264</v>
      </c>
      <c r="K22" s="74" t="s">
        <v>57</v>
      </c>
      <c r="L22" s="74" t="s">
        <v>38</v>
      </c>
      <c r="N22" s="2">
        <f>IF(ISBLANK(Calculate_Business_Metadata[[#This Row],[Business Attribute Name]])=TRUE, 0, 1)</f>
        <v>1</v>
      </c>
      <c r="O22" s="2">
        <f>IF(ISBLANK(Calculate_Business_Metadata[[#This Row],[Business Definition (EN)]])=TRUE, 0, 1)</f>
        <v>1</v>
      </c>
      <c r="P22" s="2">
        <f>IF(ISBLANK(Calculate_Business_Metadata[[#This Row],[Column Name]])=TRUE, 0, 1)</f>
        <v>1</v>
      </c>
      <c r="Q22" s="2">
        <f>IF(ISBLANK(Calculate_Business_Metadata[[#This Row],[PII/Non-PII]])=TRUE, 0, 1)</f>
        <v>1</v>
      </c>
      <c r="R22" s="2" t="b">
        <f>ISERROR(FIND("-", Calculate_Business_Metadata[[#This Row],[List of Allowable Values]]))</f>
        <v>0</v>
      </c>
      <c r="S22" s="2" t="b">
        <f>ISERROR(FIND("Flag",Calculate_Business_Metadata[[#This Row],[List of Allowable Values]], 1))</f>
        <v>1</v>
      </c>
      <c r="T22" s="2" t="b">
        <f>ISERROR(FIND("In this case, the list of allowable values can be contact",Calculate_Business_Metadata[[#This Row],[List of Allowable Values]], 1))</f>
        <v>1</v>
      </c>
      <c r="U22" s="2" t="b">
        <f>ISERROR(FIND("In this case, the list of allowable values can be found",Calculate_Business_Metadata[[#This Row],[List of Allowable Values]], 1))</f>
        <v>1</v>
      </c>
      <c r="V22" s="2" t="b">
        <f>ISERROR(FIND("list of allowable values",Calculate_Business_Metadata[[#This Row],[List of Allowable Values]], 1))</f>
        <v>1</v>
      </c>
      <c r="W22" s="2">
        <f t="shared" si="0"/>
        <v>1</v>
      </c>
      <c r="X22" s="2">
        <f>IF(ISBLANK(Calculate_Business_Metadata[[#This Row],[Sample Data]])=TRUE, 0, 1)</f>
        <v>1</v>
      </c>
      <c r="Y22" s="2">
        <f>IF(ISBLANK(Calculate_Business_Metadata[[#This Row],[Business Data Steward]])=TRUE, 0, 1)</f>
        <v>1</v>
      </c>
      <c r="Z22" s="2">
        <f>IF(ISBLANK(Calculate_Business_Metadata[[#This Row],[Data Owner]])=TRUE, 0, 1)</f>
        <v>1</v>
      </c>
      <c r="AA22" s="2">
        <f>IF(ISBLANK(Calculate_Business_Metadata[[#This Row],[Updated Date]])=TRUE, 0, 1)</f>
        <v>1</v>
      </c>
      <c r="AB22" s="2">
        <f>IF(ISBLANK(Calculate_Business_Metadata[[#This Row],[Updated By]])=TRUE, 0, 1)</f>
        <v>1</v>
      </c>
      <c r="AD22" s="2">
        <f>IF(OR(
ISERROR(FIND("  ",Calculate_Business_Metadata[[#This Row],[Business Attribute Name]], 1))=FALSE,
ISERROR(FIND("_",Calculate_Business_Metadata[[#This Row],[Business Attribute Name]], 1))=FALSE)=TRUE, 0, 1)</f>
        <v>1</v>
      </c>
      <c r="AE22" s="2">
        <f>IF(OR(
ISERROR(FIND("  ",Calculate_Business_Metadata[[#This Row],[Business Definition (EN)]], 1))=FALSE,
ISERROR(FIND("__",Calculate_Business_Metadata[[#This Row],[Business Definition (EN)]], 1))=FALSE)=TRUE, 0, 1)</f>
        <v>1</v>
      </c>
      <c r="AF22" s="2">
        <f>IF(OR(
ISERROR(FIND("  ",Calculate_Business_Metadata[[#This Row],[Column Name]], 1))=FALSE,
ISERROR(FIND("__",Calculate_Business_Metadata[[#This Row],[Column Name]], 1))=FALSE)=TRUE, 0, 1)</f>
        <v>1</v>
      </c>
      <c r="AG22" s="2">
        <f>IF(OR(
ISERROR(FIND("  ",Calculate_Business_Metadata[[#This Row],[Business Data Steward]], 1))=FALSE,
ISERROR(FIND("_",Calculate_Business_Metadata[[#This Row],[Business Data Steward]], 1))=FALSE)=TRUE, 0, 1)</f>
        <v>1</v>
      </c>
      <c r="AH22" s="2">
        <f>IF(OR(
ISERROR(FIND("  ",Calculate_Business_Metadata[[#This Row],[Data Owner]], 1))=FALSE,
ISERROR(FIND("_",Calculate_Business_Metadata[[#This Row],[Data Owner]], 1))=FALSE)=TRUE, 0, 1)</f>
        <v>1</v>
      </c>
      <c r="AI22" s="2">
        <f>IF(OR(
ISERROR(FIND("  ",Calculate_Business_Metadata[[#This Row],[Updated By]], 1))=FALSE,
ISERROR(FIND("_",Calculate_Business_Metadata[[#This Row],[Updated By]], 1))=FALSE)=TRUE, 0, 1)</f>
        <v>1</v>
      </c>
      <c r="AK22" s="2">
        <f>IF(OR(ISERROR(FIND("PII",Calculate_Business_Metadata[[#This Row],[PII/Non-PII]], 1))=FALSE, ISERROR(FIND("PII",Calculate_Business_Metadata[[#This Row],[PII/Non-PII]], 1))=FALSE)=TRUE, 1, 0)</f>
        <v>1</v>
      </c>
      <c r="AM22" s="2">
        <f>IF( COUNTIFS(B:B, Calculate_Business_Metadata[[#This Row],[Business Attribute Name]], D:D, Calculate_Business_Metadata[[#This Row],[Column Name]], L:L, Calculate_Business_Metadata[[#This Row],[Subdomain]]) &gt; 1, 0, 1)</f>
        <v>1</v>
      </c>
      <c r="AN22" s="2" t="str">
        <f>LEFT(Calculate_Business_Metadata[[#This Row],[Business Definition (EN)]], 150)</f>
        <v>Description of the source of the money invested In the case that the customer specifies the field income_source as Other.
คำอธิบายแหล่งที่มาของเงินที่</v>
      </c>
      <c r="AO22" s="2">
        <f ca="1">IF( COUNTIFS(AO:AO,AN22, B:B, Calculate_Business_Metadata[[#This Row],[Business Attribute Name]],L:L, Calculate_Business_Metadata[[#This Row],[Subdomain]]) &lt;&gt; 1, 0, 1)</f>
        <v>0</v>
      </c>
      <c r="AP22" s="2">
        <f>IF(COUNTIFS(B:B, Calculate_Business_Metadata[[#This Row],[Business Attribute Name]], D:D, Calculate_Business_Metadata[[#This Row],[Column Name]], AN:AN, AN22) &gt;1, 0, 1)</f>
        <v>1</v>
      </c>
      <c r="AR22" s="2">
        <f>IF(COUNTIFS('Cal_Technical - Column'!D:D, Calculate_Business_Metadata[[#This Row],[Column Name]])&gt; 0, 1, 0)</f>
        <v>1</v>
      </c>
    </row>
    <row r="23" spans="1:44" ht="182" x14ac:dyDescent="0.3">
      <c r="A23" s="74">
        <v>22</v>
      </c>
      <c r="B23" s="74" t="s">
        <v>173</v>
      </c>
      <c r="C23" s="1" t="s">
        <v>174</v>
      </c>
      <c r="D23" s="74" t="s">
        <v>84</v>
      </c>
      <c r="E23" s="74" t="s">
        <v>54</v>
      </c>
      <c r="F23" s="2" t="s">
        <v>47</v>
      </c>
      <c r="G23" s="74" t="s">
        <v>175</v>
      </c>
      <c r="H23" s="74" t="s">
        <v>113</v>
      </c>
      <c r="I23" s="74" t="s">
        <v>114</v>
      </c>
      <c r="J23" s="70">
        <v>45264</v>
      </c>
      <c r="K23" s="74" t="s">
        <v>57</v>
      </c>
      <c r="L23" s="74" t="s">
        <v>38</v>
      </c>
      <c r="N23" s="2">
        <f>IF(ISBLANK(Calculate_Business_Metadata[[#This Row],[Business Attribute Name]])=TRUE, 0, 1)</f>
        <v>1</v>
      </c>
      <c r="O23" s="2">
        <f>IF(ISBLANK(Calculate_Business_Metadata[[#This Row],[Business Definition (EN)]])=TRUE, 0, 1)</f>
        <v>1</v>
      </c>
      <c r="P23" s="2">
        <f>IF(ISBLANK(Calculate_Business_Metadata[[#This Row],[Column Name]])=TRUE, 0, 1)</f>
        <v>1</v>
      </c>
      <c r="Q23" s="2">
        <f>IF(ISBLANK(Calculate_Business_Metadata[[#This Row],[PII/Non-PII]])=TRUE, 0, 1)</f>
        <v>1</v>
      </c>
      <c r="R23" s="2" t="b">
        <f>ISERROR(FIND("-", Calculate_Business_Metadata[[#This Row],[List of Allowable Values]]))</f>
        <v>0</v>
      </c>
      <c r="S23" s="2" t="b">
        <f>ISERROR(FIND("Flag",Calculate_Business_Metadata[[#This Row],[List of Allowable Values]], 1))</f>
        <v>1</v>
      </c>
      <c r="T23" s="2" t="b">
        <f>ISERROR(FIND("In this case, the list of allowable values can be contact",Calculate_Business_Metadata[[#This Row],[List of Allowable Values]], 1))</f>
        <v>1</v>
      </c>
      <c r="U23" s="2" t="b">
        <f>ISERROR(FIND("In this case, the list of allowable values can be found",Calculate_Business_Metadata[[#This Row],[List of Allowable Values]], 1))</f>
        <v>1</v>
      </c>
      <c r="V23" s="2" t="b">
        <f>ISERROR(FIND("list of allowable values",Calculate_Business_Metadata[[#This Row],[List of Allowable Values]], 1))</f>
        <v>1</v>
      </c>
      <c r="W23" s="2">
        <f t="shared" si="0"/>
        <v>1</v>
      </c>
      <c r="X23" s="2">
        <f>IF(ISBLANK(Calculate_Business_Metadata[[#This Row],[Sample Data]])=TRUE, 0, 1)</f>
        <v>1</v>
      </c>
      <c r="Y23" s="2">
        <f>IF(ISBLANK(Calculate_Business_Metadata[[#This Row],[Business Data Steward]])=TRUE, 0, 1)</f>
        <v>1</v>
      </c>
      <c r="Z23" s="2">
        <f>IF(ISBLANK(Calculate_Business_Metadata[[#This Row],[Data Owner]])=TRUE, 0, 1)</f>
        <v>1</v>
      </c>
      <c r="AA23" s="2">
        <f>IF(ISBLANK(Calculate_Business_Metadata[[#This Row],[Updated Date]])=TRUE, 0, 1)</f>
        <v>1</v>
      </c>
      <c r="AB23" s="2">
        <f>IF(ISBLANK(Calculate_Business_Metadata[[#This Row],[Updated By]])=TRUE, 0, 1)</f>
        <v>1</v>
      </c>
      <c r="AD23" s="2">
        <f>IF(OR(
ISERROR(FIND("  ",Calculate_Business_Metadata[[#This Row],[Business Attribute Name]], 1))=FALSE,
ISERROR(FIND("_",Calculate_Business_Metadata[[#This Row],[Business Attribute Name]], 1))=FALSE)=TRUE, 0, 1)</f>
        <v>1</v>
      </c>
      <c r="AE23" s="2">
        <f>IF(OR(
ISERROR(FIND("  ",Calculate_Business_Metadata[[#This Row],[Business Definition (EN)]], 1))=FALSE,
ISERROR(FIND("__",Calculate_Business_Metadata[[#This Row],[Business Definition (EN)]], 1))=FALSE)=TRUE, 0, 1)</f>
        <v>1</v>
      </c>
      <c r="AF23" s="2">
        <f>IF(OR(
ISERROR(FIND("  ",Calculate_Business_Metadata[[#This Row],[Column Name]], 1))=FALSE,
ISERROR(FIND("__",Calculate_Business_Metadata[[#This Row],[Column Name]], 1))=FALSE)=TRUE, 0, 1)</f>
        <v>1</v>
      </c>
      <c r="AG23" s="2">
        <f>IF(OR(
ISERROR(FIND("  ",Calculate_Business_Metadata[[#This Row],[Business Data Steward]], 1))=FALSE,
ISERROR(FIND("_",Calculate_Business_Metadata[[#This Row],[Business Data Steward]], 1))=FALSE)=TRUE, 0, 1)</f>
        <v>1</v>
      </c>
      <c r="AH23" s="2">
        <f>IF(OR(
ISERROR(FIND("  ",Calculate_Business_Metadata[[#This Row],[Data Owner]], 1))=FALSE,
ISERROR(FIND("_",Calculate_Business_Metadata[[#This Row],[Data Owner]], 1))=FALSE)=TRUE, 0, 1)</f>
        <v>1</v>
      </c>
      <c r="AI23" s="2">
        <f>IF(OR(
ISERROR(FIND("  ",Calculate_Business_Metadata[[#This Row],[Updated By]], 1))=FALSE,
ISERROR(FIND("_",Calculate_Business_Metadata[[#This Row],[Updated By]], 1))=FALSE)=TRUE, 0, 1)</f>
        <v>1</v>
      </c>
      <c r="AK23" s="2">
        <f>IF(OR(ISERROR(FIND("PII",Calculate_Business_Metadata[[#This Row],[PII/Non-PII]], 1))=FALSE, ISERROR(FIND("PII",Calculate_Business_Metadata[[#This Row],[PII/Non-PII]], 1))=FALSE)=TRUE, 1, 0)</f>
        <v>1</v>
      </c>
      <c r="AM23" s="2">
        <f>IF( COUNTIFS(B:B, Calculate_Business_Metadata[[#This Row],[Business Attribute Name]], D:D, Calculate_Business_Metadata[[#This Row],[Column Name]], L:L, Calculate_Business_Metadata[[#This Row],[Subdomain]]) &gt; 1, 0, 1)</f>
        <v>1</v>
      </c>
      <c r="AN23" s="2" t="str">
        <f>LEFT(Calculate_Business_Metadata[[#This Row],[Business Definition (EN)]], 150)</f>
        <v>An email address is a unique identifier for an email account used to send and receive email messages over the Internet and is a form used to contact c</v>
      </c>
      <c r="AO23" s="2">
        <f ca="1">IF( COUNTIFS(AO:AO,AN23, B:B, Calculate_Business_Metadata[[#This Row],[Business Attribute Name]],L:L, Calculate_Business_Metadata[[#This Row],[Subdomain]]) &lt;&gt; 1, 0, 1)</f>
        <v>0</v>
      </c>
      <c r="AP23" s="2">
        <f>IF(COUNTIFS(B:B, Calculate_Business_Metadata[[#This Row],[Business Attribute Name]], D:D, Calculate_Business_Metadata[[#This Row],[Column Name]], AN:AN, AN23) &gt;1, 0, 1)</f>
        <v>1</v>
      </c>
      <c r="AR23" s="2">
        <f>IF(COUNTIFS('Cal_Technical - Column'!D:D, Calculate_Business_Metadata[[#This Row],[Column Name]])&gt; 0, 1, 0)</f>
        <v>1</v>
      </c>
    </row>
    <row r="24" spans="1:44" ht="154" x14ac:dyDescent="0.3">
      <c r="A24" s="74">
        <v>23</v>
      </c>
      <c r="B24" s="74" t="s">
        <v>176</v>
      </c>
      <c r="C24" s="1" t="s">
        <v>177</v>
      </c>
      <c r="D24" s="74" t="s">
        <v>86</v>
      </c>
      <c r="E24" s="74" t="s">
        <v>43</v>
      </c>
      <c r="F24" s="2" t="s">
        <v>47</v>
      </c>
      <c r="G24" s="74" t="s">
        <v>178</v>
      </c>
      <c r="H24" s="74" t="s">
        <v>113</v>
      </c>
      <c r="I24" s="74" t="s">
        <v>114</v>
      </c>
      <c r="J24" s="70">
        <v>45264</v>
      </c>
      <c r="K24" s="74" t="s">
        <v>57</v>
      </c>
      <c r="L24" s="74" t="s">
        <v>38</v>
      </c>
      <c r="N24" s="2">
        <f>IF(ISBLANK(Calculate_Business_Metadata[[#This Row],[Business Attribute Name]])=TRUE, 0, 1)</f>
        <v>1</v>
      </c>
      <c r="O24" s="2">
        <f>IF(ISBLANK(Calculate_Business_Metadata[[#This Row],[Business Definition (EN)]])=TRUE, 0, 1)</f>
        <v>1</v>
      </c>
      <c r="P24" s="2">
        <f>IF(ISBLANK(Calculate_Business_Metadata[[#This Row],[Column Name]])=TRUE, 0, 1)</f>
        <v>1</v>
      </c>
      <c r="Q24" s="2">
        <f>IF(ISBLANK(Calculate_Business_Metadata[[#This Row],[PII/Non-PII]])=TRUE, 0, 1)</f>
        <v>1</v>
      </c>
      <c r="R24" s="2" t="b">
        <f>ISERROR(FIND("-", Calculate_Business_Metadata[[#This Row],[List of Allowable Values]]))</f>
        <v>0</v>
      </c>
      <c r="S24" s="2" t="b">
        <f>ISERROR(FIND("Flag",Calculate_Business_Metadata[[#This Row],[List of Allowable Values]], 1))</f>
        <v>1</v>
      </c>
      <c r="T24" s="2" t="b">
        <f>ISERROR(FIND("In this case, the list of allowable values can be contact",Calculate_Business_Metadata[[#This Row],[List of Allowable Values]], 1))</f>
        <v>1</v>
      </c>
      <c r="U24" s="2" t="b">
        <f>ISERROR(FIND("In this case, the list of allowable values can be found",Calculate_Business_Metadata[[#This Row],[List of Allowable Values]], 1))</f>
        <v>1</v>
      </c>
      <c r="V24" s="2" t="b">
        <f>ISERROR(FIND("list of allowable values",Calculate_Business_Metadata[[#This Row],[List of Allowable Values]], 1))</f>
        <v>1</v>
      </c>
      <c r="W24" s="2">
        <f t="shared" si="0"/>
        <v>1</v>
      </c>
      <c r="X24" s="2">
        <f>IF(ISBLANK(Calculate_Business_Metadata[[#This Row],[Sample Data]])=TRUE, 0, 1)</f>
        <v>1</v>
      </c>
      <c r="Y24" s="2">
        <f>IF(ISBLANK(Calculate_Business_Metadata[[#This Row],[Business Data Steward]])=TRUE, 0, 1)</f>
        <v>1</v>
      </c>
      <c r="Z24" s="2">
        <f>IF(ISBLANK(Calculate_Business_Metadata[[#This Row],[Data Owner]])=TRUE, 0, 1)</f>
        <v>1</v>
      </c>
      <c r="AA24" s="2">
        <f>IF(ISBLANK(Calculate_Business_Metadata[[#This Row],[Updated Date]])=TRUE, 0, 1)</f>
        <v>1</v>
      </c>
      <c r="AB24" s="2">
        <f>IF(ISBLANK(Calculate_Business_Metadata[[#This Row],[Updated By]])=TRUE, 0, 1)</f>
        <v>1</v>
      </c>
      <c r="AD24" s="2">
        <f>IF(OR(
ISERROR(FIND("  ",Calculate_Business_Metadata[[#This Row],[Business Attribute Name]], 1))=FALSE,
ISERROR(FIND("_",Calculate_Business_Metadata[[#This Row],[Business Attribute Name]], 1))=FALSE)=TRUE, 0, 1)</f>
        <v>1</v>
      </c>
      <c r="AE24" s="2">
        <f>IF(OR(
ISERROR(FIND("  ",Calculate_Business_Metadata[[#This Row],[Business Definition (EN)]], 1))=FALSE,
ISERROR(FIND("__",Calculate_Business_Metadata[[#This Row],[Business Definition (EN)]], 1))=FALSE)=TRUE, 0, 1)</f>
        <v>1</v>
      </c>
      <c r="AF24" s="2">
        <f>IF(OR(
ISERROR(FIND("  ",Calculate_Business_Metadata[[#This Row],[Column Name]], 1))=FALSE,
ISERROR(FIND("__",Calculate_Business_Metadata[[#This Row],[Column Name]], 1))=FALSE)=TRUE, 0, 1)</f>
        <v>1</v>
      </c>
      <c r="AG24" s="2">
        <f>IF(OR(
ISERROR(FIND("  ",Calculate_Business_Metadata[[#This Row],[Business Data Steward]], 1))=FALSE,
ISERROR(FIND("_",Calculate_Business_Metadata[[#This Row],[Business Data Steward]], 1))=FALSE)=TRUE, 0, 1)</f>
        <v>1</v>
      </c>
      <c r="AH24" s="2">
        <f>IF(OR(
ISERROR(FIND("  ",Calculate_Business_Metadata[[#This Row],[Data Owner]], 1))=FALSE,
ISERROR(FIND("_",Calculate_Business_Metadata[[#This Row],[Data Owner]], 1))=FALSE)=TRUE, 0, 1)</f>
        <v>1</v>
      </c>
      <c r="AI24" s="2">
        <f>IF(OR(
ISERROR(FIND("  ",Calculate_Business_Metadata[[#This Row],[Updated By]], 1))=FALSE,
ISERROR(FIND("_",Calculate_Business_Metadata[[#This Row],[Updated By]], 1))=FALSE)=TRUE, 0, 1)</f>
        <v>1</v>
      </c>
      <c r="AK24" s="2">
        <f>IF(OR(ISERROR(FIND("PII",Calculate_Business_Metadata[[#This Row],[PII/Non-PII]], 1))=FALSE, ISERROR(FIND("PII",Calculate_Business_Metadata[[#This Row],[PII/Non-PII]], 1))=FALSE)=TRUE, 1, 0)</f>
        <v>1</v>
      </c>
      <c r="AM24" s="2">
        <f>IF( COUNTIFS(B:B, Calculate_Business_Metadata[[#This Row],[Business Attribute Name]], D:D, Calculate_Business_Metadata[[#This Row],[Column Name]], L:L, Calculate_Business_Metadata[[#This Row],[Subdomain]]) &gt; 1, 0, 1)</f>
        <v>1</v>
      </c>
      <c r="AN24" s="2" t="str">
        <f>LEFT(Calculate_Business_Metadata[[#This Row],[Business Definition (EN)]], 150)</f>
        <v>Segment means dividing customers into several groups. The purpose is to analyze or understand customers for maximum benefit. It is divided according t</v>
      </c>
      <c r="AO24" s="2">
        <f ca="1">IF( COUNTIFS(AO:AO,AN24, B:B, Calculate_Business_Metadata[[#This Row],[Business Attribute Name]],L:L, Calculate_Business_Metadata[[#This Row],[Subdomain]]) &lt;&gt; 1, 0, 1)</f>
        <v>0</v>
      </c>
      <c r="AP24" s="2">
        <f>IF(COUNTIFS(B:B, Calculate_Business_Metadata[[#This Row],[Business Attribute Name]], D:D, Calculate_Business_Metadata[[#This Row],[Column Name]], AN:AN, AN24) &gt;1, 0, 1)</f>
        <v>1</v>
      </c>
      <c r="AR24" s="2">
        <f>IF(COUNTIFS('Cal_Technical - Column'!D:D, Calculate_Business_Metadata[[#This Row],[Column Name]])&gt; 0, 1, 0)</f>
        <v>1</v>
      </c>
    </row>
    <row r="25" spans="1:44" ht="182" x14ac:dyDescent="0.3">
      <c r="A25" s="74">
        <v>24</v>
      </c>
      <c r="B25" s="74" t="s">
        <v>179</v>
      </c>
      <c r="C25" s="1" t="s">
        <v>180</v>
      </c>
      <c r="D25" s="74" t="s">
        <v>87</v>
      </c>
      <c r="E25" s="74" t="s">
        <v>54</v>
      </c>
      <c r="F25" s="2" t="s">
        <v>47</v>
      </c>
      <c r="G25" s="74" t="s">
        <v>181</v>
      </c>
      <c r="H25" s="74" t="s">
        <v>113</v>
      </c>
      <c r="I25" s="74" t="s">
        <v>114</v>
      </c>
      <c r="J25" s="70">
        <v>45264</v>
      </c>
      <c r="K25" s="74" t="s">
        <v>57</v>
      </c>
      <c r="L25" s="74" t="s">
        <v>38</v>
      </c>
      <c r="N25" s="2">
        <f>IF(ISBLANK(Calculate_Business_Metadata[[#This Row],[Business Attribute Name]])=TRUE, 0, 1)</f>
        <v>1</v>
      </c>
      <c r="O25" s="2">
        <f>IF(ISBLANK(Calculate_Business_Metadata[[#This Row],[Business Definition (EN)]])=TRUE, 0, 1)</f>
        <v>1</v>
      </c>
      <c r="P25" s="2">
        <f>IF(ISBLANK(Calculate_Business_Metadata[[#This Row],[Column Name]])=TRUE, 0, 1)</f>
        <v>1</v>
      </c>
      <c r="Q25" s="2">
        <f>IF(ISBLANK(Calculate_Business_Metadata[[#This Row],[PII/Non-PII]])=TRUE, 0, 1)</f>
        <v>1</v>
      </c>
      <c r="R25" s="2" t="b">
        <f>ISERROR(FIND("-", Calculate_Business_Metadata[[#This Row],[List of Allowable Values]]))</f>
        <v>0</v>
      </c>
      <c r="S25" s="2" t="b">
        <f>ISERROR(FIND("Flag",Calculate_Business_Metadata[[#This Row],[List of Allowable Values]], 1))</f>
        <v>1</v>
      </c>
      <c r="T25" s="2" t="b">
        <f>ISERROR(FIND("In this case, the list of allowable values can be contact",Calculate_Business_Metadata[[#This Row],[List of Allowable Values]], 1))</f>
        <v>1</v>
      </c>
      <c r="U25" s="2" t="b">
        <f>ISERROR(FIND("In this case, the list of allowable values can be found",Calculate_Business_Metadata[[#This Row],[List of Allowable Values]], 1))</f>
        <v>1</v>
      </c>
      <c r="V25" s="2" t="b">
        <f>ISERROR(FIND("list of allowable values",Calculate_Business_Metadata[[#This Row],[List of Allowable Values]], 1))</f>
        <v>1</v>
      </c>
      <c r="W25" s="2">
        <f t="shared" si="0"/>
        <v>1</v>
      </c>
      <c r="X25" s="2">
        <f>IF(ISBLANK(Calculate_Business_Metadata[[#This Row],[Sample Data]])=TRUE, 0, 1)</f>
        <v>1</v>
      </c>
      <c r="Y25" s="2">
        <f>IF(ISBLANK(Calculate_Business_Metadata[[#This Row],[Business Data Steward]])=TRUE, 0, 1)</f>
        <v>1</v>
      </c>
      <c r="Z25" s="2">
        <f>IF(ISBLANK(Calculate_Business_Metadata[[#This Row],[Data Owner]])=TRUE, 0, 1)</f>
        <v>1</v>
      </c>
      <c r="AA25" s="2">
        <f>IF(ISBLANK(Calculate_Business_Metadata[[#This Row],[Updated Date]])=TRUE, 0, 1)</f>
        <v>1</v>
      </c>
      <c r="AB25" s="2">
        <f>IF(ISBLANK(Calculate_Business_Metadata[[#This Row],[Updated By]])=TRUE, 0, 1)</f>
        <v>1</v>
      </c>
      <c r="AD25" s="2">
        <f>IF(OR(
ISERROR(FIND("  ",Calculate_Business_Metadata[[#This Row],[Business Attribute Name]], 1))=FALSE,
ISERROR(FIND("_",Calculate_Business_Metadata[[#This Row],[Business Attribute Name]], 1))=FALSE)=TRUE, 0, 1)</f>
        <v>1</v>
      </c>
      <c r="AE25" s="2">
        <f>IF(OR(
ISERROR(FIND("  ",Calculate_Business_Metadata[[#This Row],[Business Definition (EN)]], 1))=FALSE,
ISERROR(FIND("__",Calculate_Business_Metadata[[#This Row],[Business Definition (EN)]], 1))=FALSE)=TRUE, 0, 1)</f>
        <v>1</v>
      </c>
      <c r="AF25" s="2">
        <f>IF(OR(
ISERROR(FIND("  ",Calculate_Business_Metadata[[#This Row],[Column Name]], 1))=FALSE,
ISERROR(FIND("__",Calculate_Business_Metadata[[#This Row],[Column Name]], 1))=FALSE)=TRUE, 0, 1)</f>
        <v>1</v>
      </c>
      <c r="AG25" s="2">
        <f>IF(OR(
ISERROR(FIND("  ",Calculate_Business_Metadata[[#This Row],[Business Data Steward]], 1))=FALSE,
ISERROR(FIND("_",Calculate_Business_Metadata[[#This Row],[Business Data Steward]], 1))=FALSE)=TRUE, 0, 1)</f>
        <v>1</v>
      </c>
      <c r="AH25" s="2">
        <f>IF(OR(
ISERROR(FIND("  ",Calculate_Business_Metadata[[#This Row],[Data Owner]], 1))=FALSE,
ISERROR(FIND("_",Calculate_Business_Metadata[[#This Row],[Data Owner]], 1))=FALSE)=TRUE, 0, 1)</f>
        <v>1</v>
      </c>
      <c r="AI25" s="2">
        <f>IF(OR(
ISERROR(FIND("  ",Calculate_Business_Metadata[[#This Row],[Updated By]], 1))=FALSE,
ISERROR(FIND("_",Calculate_Business_Metadata[[#This Row],[Updated By]], 1))=FALSE)=TRUE, 0, 1)</f>
        <v>1</v>
      </c>
      <c r="AK25" s="2">
        <f>IF(OR(ISERROR(FIND("PII",Calculate_Business_Metadata[[#This Row],[PII/Non-PII]], 1))=FALSE, ISERROR(FIND("PII",Calculate_Business_Metadata[[#This Row],[PII/Non-PII]], 1))=FALSE)=TRUE, 1, 0)</f>
        <v>1</v>
      </c>
      <c r="AM25" s="2">
        <f>IF( COUNTIFS(B:B, Calculate_Business_Metadata[[#This Row],[Business Attribute Name]], D:D, Calculate_Business_Metadata[[#This Row],[Column Name]], L:L, Calculate_Business_Metadata[[#This Row],[Subdomain]]) &gt; 1, 0, 1)</f>
        <v>1</v>
      </c>
      <c r="AN25" s="2" t="str">
        <f>LEFT(Calculate_Business_Metadata[[#This Row],[Business Definition (EN)]], 150)</f>
        <v>Easy Invest ID App refers to the customer's email for using the Easy Invest App Application. When the customer uses it, a record or log will be kept f</v>
      </c>
      <c r="AO25" s="2">
        <f ca="1">IF( COUNTIFS(AO:AO,AN25, B:B, Calculate_Business_Metadata[[#This Row],[Business Attribute Name]],L:L, Calculate_Business_Metadata[[#This Row],[Subdomain]]) &lt;&gt; 1, 0, 1)</f>
        <v>0</v>
      </c>
      <c r="AP25" s="2">
        <f>IF(COUNTIFS(B:B, Calculate_Business_Metadata[[#This Row],[Business Attribute Name]], D:D, Calculate_Business_Metadata[[#This Row],[Column Name]], AN:AN, AN25) &gt;1, 0, 1)</f>
        <v>1</v>
      </c>
      <c r="AR25" s="2">
        <f>IF(COUNTIFS('Cal_Technical - Column'!D:D, Calculate_Business_Metadata[[#This Row],[Column Name]])&gt; 0, 1, 0)</f>
        <v>1</v>
      </c>
    </row>
    <row r="26" spans="1:44" ht="126" x14ac:dyDescent="0.3">
      <c r="A26" s="74">
        <v>25</v>
      </c>
      <c r="B26" s="74" t="s">
        <v>182</v>
      </c>
      <c r="C26" s="1" t="s">
        <v>183</v>
      </c>
      <c r="D26" s="74" t="s">
        <v>88</v>
      </c>
      <c r="E26" s="74" t="s">
        <v>43</v>
      </c>
      <c r="F26" s="2" t="s">
        <v>47</v>
      </c>
      <c r="G26" s="74" t="s">
        <v>184</v>
      </c>
      <c r="H26" s="74" t="s">
        <v>113</v>
      </c>
      <c r="I26" s="74" t="s">
        <v>114</v>
      </c>
      <c r="J26" s="70">
        <v>45300</v>
      </c>
      <c r="K26" s="74" t="s">
        <v>57</v>
      </c>
      <c r="L26" s="74" t="s">
        <v>38</v>
      </c>
      <c r="N26" s="2">
        <f>IF(ISBLANK(Calculate_Business_Metadata[[#This Row],[Business Attribute Name]])=TRUE, 0, 1)</f>
        <v>1</v>
      </c>
      <c r="O26" s="2">
        <f>IF(ISBLANK(Calculate_Business_Metadata[[#This Row],[Business Definition (EN)]])=TRUE, 0, 1)</f>
        <v>1</v>
      </c>
      <c r="P26" s="2">
        <f>IF(ISBLANK(Calculate_Business_Metadata[[#This Row],[Column Name]])=TRUE, 0, 1)</f>
        <v>1</v>
      </c>
      <c r="Q26" s="2">
        <f>IF(ISBLANK(Calculate_Business_Metadata[[#This Row],[PII/Non-PII]])=TRUE, 0, 1)</f>
        <v>1</v>
      </c>
      <c r="R26" s="2" t="b">
        <f>ISERROR(FIND("-", Calculate_Business_Metadata[[#This Row],[List of Allowable Values]]))</f>
        <v>0</v>
      </c>
      <c r="S26" s="2" t="b">
        <f>ISERROR(FIND("Flag",Calculate_Business_Metadata[[#This Row],[List of Allowable Values]], 1))</f>
        <v>1</v>
      </c>
      <c r="T26" s="2" t="b">
        <f>ISERROR(FIND("In this case, the list of allowable values can be contact",Calculate_Business_Metadata[[#This Row],[List of Allowable Values]], 1))</f>
        <v>1</v>
      </c>
      <c r="U26" s="2" t="b">
        <f>ISERROR(FIND("In this case, the list of allowable values can be found",Calculate_Business_Metadata[[#This Row],[List of Allowable Values]], 1))</f>
        <v>1</v>
      </c>
      <c r="V26" s="2" t="b">
        <f>ISERROR(FIND("list of allowable values",Calculate_Business_Metadata[[#This Row],[List of Allowable Values]], 1))</f>
        <v>1</v>
      </c>
      <c r="W26" s="2">
        <f t="shared" si="0"/>
        <v>1</v>
      </c>
      <c r="X26" s="2">
        <f>IF(ISBLANK(Calculate_Business_Metadata[[#This Row],[Sample Data]])=TRUE, 0, 1)</f>
        <v>1</v>
      </c>
      <c r="Y26" s="2">
        <f>IF(ISBLANK(Calculate_Business_Metadata[[#This Row],[Business Data Steward]])=TRUE, 0, 1)</f>
        <v>1</v>
      </c>
      <c r="Z26" s="2">
        <f>IF(ISBLANK(Calculate_Business_Metadata[[#This Row],[Data Owner]])=TRUE, 0, 1)</f>
        <v>1</v>
      </c>
      <c r="AA26" s="2">
        <f>IF(ISBLANK(Calculate_Business_Metadata[[#This Row],[Updated Date]])=TRUE, 0, 1)</f>
        <v>1</v>
      </c>
      <c r="AB26" s="2">
        <f>IF(ISBLANK(Calculate_Business_Metadata[[#This Row],[Updated By]])=TRUE, 0, 1)</f>
        <v>1</v>
      </c>
      <c r="AD26" s="2">
        <f>IF(OR(
ISERROR(FIND("  ",Calculate_Business_Metadata[[#This Row],[Business Attribute Name]], 1))=FALSE,
ISERROR(FIND("_",Calculate_Business_Metadata[[#This Row],[Business Attribute Name]], 1))=FALSE)=TRUE, 0, 1)</f>
        <v>1</v>
      </c>
      <c r="AE26" s="2">
        <f>IF(OR(
ISERROR(FIND("  ",Calculate_Business_Metadata[[#This Row],[Business Definition (EN)]], 1))=FALSE,
ISERROR(FIND("__",Calculate_Business_Metadata[[#This Row],[Business Definition (EN)]], 1))=FALSE)=TRUE, 0, 1)</f>
        <v>1</v>
      </c>
      <c r="AF26" s="2">
        <f>IF(OR(
ISERROR(FIND("  ",Calculate_Business_Metadata[[#This Row],[Column Name]], 1))=FALSE,
ISERROR(FIND("__",Calculate_Business_Metadata[[#This Row],[Column Name]], 1))=FALSE)=TRUE, 0, 1)</f>
        <v>1</v>
      </c>
      <c r="AG26" s="2">
        <f>IF(OR(
ISERROR(FIND("  ",Calculate_Business_Metadata[[#This Row],[Business Data Steward]], 1))=FALSE,
ISERROR(FIND("_",Calculate_Business_Metadata[[#This Row],[Business Data Steward]], 1))=FALSE)=TRUE, 0, 1)</f>
        <v>1</v>
      </c>
      <c r="AH26" s="2">
        <f>IF(OR(
ISERROR(FIND("  ",Calculate_Business_Metadata[[#This Row],[Data Owner]], 1))=FALSE,
ISERROR(FIND("_",Calculate_Business_Metadata[[#This Row],[Data Owner]], 1))=FALSE)=TRUE, 0, 1)</f>
        <v>1</v>
      </c>
      <c r="AI26" s="2">
        <f>IF(OR(
ISERROR(FIND("  ",Calculate_Business_Metadata[[#This Row],[Updated By]], 1))=FALSE,
ISERROR(FIND("_",Calculate_Business_Metadata[[#This Row],[Updated By]], 1))=FALSE)=TRUE, 0, 1)</f>
        <v>1</v>
      </c>
      <c r="AK26" s="2">
        <f>IF(OR(ISERROR(FIND("PII",Calculate_Business_Metadata[[#This Row],[PII/Non-PII]], 1))=FALSE, ISERROR(FIND("PII",Calculate_Business_Metadata[[#This Row],[PII/Non-PII]], 1))=FALSE)=TRUE, 1, 0)</f>
        <v>1</v>
      </c>
      <c r="AM26" s="2">
        <f>IF( COUNTIFS(B:B, Calculate_Business_Metadata[[#This Row],[Business Attribute Name]], D:D, Calculate_Business_Metadata[[#This Row],[Column Name]], L:L, Calculate_Business_Metadata[[#This Row],[Subdomain]]) &gt; 1, 0, 1)</f>
        <v>1</v>
      </c>
      <c r="AN26" s="2" t="str">
        <f>LEFT(Calculate_Business_Metadata[[#This Row],[Business Definition (EN)]], 150)</f>
        <v>Income refers to the monthly income level. that the customer specifies when doing KYC. When collecting, it will be specified as the income range in wh</v>
      </c>
      <c r="AO26" s="2">
        <f ca="1">IF( COUNTIFS(AO:AO,AN26, B:B, Calculate_Business_Metadata[[#This Row],[Business Attribute Name]],L:L, Calculate_Business_Metadata[[#This Row],[Subdomain]]) &lt;&gt; 1, 0, 1)</f>
        <v>0</v>
      </c>
      <c r="AP26" s="2">
        <f>IF(COUNTIFS(B:B, Calculate_Business_Metadata[[#This Row],[Business Attribute Name]], D:D, Calculate_Business_Metadata[[#This Row],[Column Name]], AN:AN, AN26) &gt;1, 0, 1)</f>
        <v>1</v>
      </c>
      <c r="AR26" s="2">
        <f>IF(COUNTIFS('Cal_Technical - Column'!D:D, Calculate_Business_Metadata[[#This Row],[Column Name]])&gt; 0, 1, 0)</f>
        <v>1</v>
      </c>
    </row>
    <row r="27" spans="1:44" ht="14" x14ac:dyDescent="0.3">
      <c r="A27" s="74">
        <v>26</v>
      </c>
      <c r="B27" s="74" t="s">
        <v>185</v>
      </c>
      <c r="C27" s="1" t="s">
        <v>137</v>
      </c>
      <c r="D27" s="74" t="s">
        <v>91</v>
      </c>
      <c r="E27" s="74" t="s">
        <v>43</v>
      </c>
      <c r="F27" s="2" t="s">
        <v>47</v>
      </c>
      <c r="G27" s="74" t="s">
        <v>186</v>
      </c>
      <c r="H27" s="74" t="s">
        <v>113</v>
      </c>
      <c r="I27" s="74" t="s">
        <v>114</v>
      </c>
      <c r="J27" s="70">
        <v>45264</v>
      </c>
      <c r="K27" s="74" t="s">
        <v>57</v>
      </c>
      <c r="L27" s="74" t="s">
        <v>38</v>
      </c>
      <c r="N27" s="2">
        <f>IF(ISBLANK(Calculate_Business_Metadata[[#This Row],[Business Attribute Name]])=TRUE, 0, 1)</f>
        <v>1</v>
      </c>
      <c r="O27" s="2">
        <f>IF(ISBLANK(Calculate_Business_Metadata[[#This Row],[Business Definition (EN)]])=TRUE, 0, 1)</f>
        <v>1</v>
      </c>
      <c r="P27" s="2">
        <f>IF(ISBLANK(Calculate_Business_Metadata[[#This Row],[Column Name]])=TRUE, 0, 1)</f>
        <v>1</v>
      </c>
      <c r="Q27" s="2">
        <f>IF(ISBLANK(Calculate_Business_Metadata[[#This Row],[PII/Non-PII]])=TRUE, 0, 1)</f>
        <v>1</v>
      </c>
      <c r="R27" s="2" t="b">
        <f>ISERROR(FIND("-", Calculate_Business_Metadata[[#This Row],[List of Allowable Values]]))</f>
        <v>0</v>
      </c>
      <c r="S27" s="2" t="b">
        <f>ISERROR(FIND("Flag",Calculate_Business_Metadata[[#This Row],[List of Allowable Values]], 1))</f>
        <v>1</v>
      </c>
      <c r="T27" s="2" t="b">
        <f>ISERROR(FIND("In this case, the list of allowable values can be contact",Calculate_Business_Metadata[[#This Row],[List of Allowable Values]], 1))</f>
        <v>1</v>
      </c>
      <c r="U27" s="2" t="b">
        <f>ISERROR(FIND("In this case, the list of allowable values can be found",Calculate_Business_Metadata[[#This Row],[List of Allowable Values]], 1))</f>
        <v>1</v>
      </c>
      <c r="V27" s="2" t="b">
        <f>ISERROR(FIND("list of allowable values",Calculate_Business_Metadata[[#This Row],[List of Allowable Values]], 1))</f>
        <v>1</v>
      </c>
      <c r="W27" s="2">
        <f t="shared" si="0"/>
        <v>1</v>
      </c>
      <c r="X27" s="2">
        <f>IF(ISBLANK(Calculate_Business_Metadata[[#This Row],[Sample Data]])=TRUE, 0, 1)</f>
        <v>1</v>
      </c>
      <c r="Y27" s="2">
        <f>IF(ISBLANK(Calculate_Business_Metadata[[#This Row],[Business Data Steward]])=TRUE, 0, 1)</f>
        <v>1</v>
      </c>
      <c r="Z27" s="2">
        <f>IF(ISBLANK(Calculate_Business_Metadata[[#This Row],[Data Owner]])=TRUE, 0, 1)</f>
        <v>1</v>
      </c>
      <c r="AA27" s="2">
        <f>IF(ISBLANK(Calculate_Business_Metadata[[#This Row],[Updated Date]])=TRUE, 0, 1)</f>
        <v>1</v>
      </c>
      <c r="AB27" s="2">
        <f>IF(ISBLANK(Calculate_Business_Metadata[[#This Row],[Updated By]])=TRUE, 0, 1)</f>
        <v>1</v>
      </c>
      <c r="AD27" s="2">
        <f>IF(OR(
ISERROR(FIND("  ",Calculate_Business_Metadata[[#This Row],[Business Attribute Name]], 1))=FALSE,
ISERROR(FIND("_",Calculate_Business_Metadata[[#This Row],[Business Attribute Name]], 1))=FALSE)=TRUE, 0, 1)</f>
        <v>1</v>
      </c>
      <c r="AE27" s="2">
        <f>IF(OR(
ISERROR(FIND("  ",Calculate_Business_Metadata[[#This Row],[Business Definition (EN)]], 1))=FALSE,
ISERROR(FIND("__",Calculate_Business_Metadata[[#This Row],[Business Definition (EN)]], 1))=FALSE)=TRUE, 0, 1)</f>
        <v>1</v>
      </c>
      <c r="AF27" s="2">
        <f>IF(OR(
ISERROR(FIND("  ",Calculate_Business_Metadata[[#This Row],[Column Name]], 1))=FALSE,
ISERROR(FIND("__",Calculate_Business_Metadata[[#This Row],[Column Name]], 1))=FALSE)=TRUE, 0, 1)</f>
        <v>1</v>
      </c>
      <c r="AG27" s="2">
        <f>IF(OR(
ISERROR(FIND("  ",Calculate_Business_Metadata[[#This Row],[Business Data Steward]], 1))=FALSE,
ISERROR(FIND("_",Calculate_Business_Metadata[[#This Row],[Business Data Steward]], 1))=FALSE)=TRUE, 0, 1)</f>
        <v>1</v>
      </c>
      <c r="AH27" s="2">
        <f>IF(OR(
ISERROR(FIND("  ",Calculate_Business_Metadata[[#This Row],[Data Owner]], 1))=FALSE,
ISERROR(FIND("_",Calculate_Business_Metadata[[#This Row],[Data Owner]], 1))=FALSE)=TRUE, 0, 1)</f>
        <v>1</v>
      </c>
      <c r="AI27" s="2">
        <f>IF(OR(
ISERROR(FIND("  ",Calculate_Business_Metadata[[#This Row],[Updated By]], 1))=FALSE,
ISERROR(FIND("_",Calculate_Business_Metadata[[#This Row],[Updated By]], 1))=FALSE)=TRUE, 0, 1)</f>
        <v>1</v>
      </c>
      <c r="AK27" s="2">
        <f>IF(OR(ISERROR(FIND("PII",Calculate_Business_Metadata[[#This Row],[PII/Non-PII]], 1))=FALSE, ISERROR(FIND("PII",Calculate_Business_Metadata[[#This Row],[PII/Non-PII]], 1))=FALSE)=TRUE, 1, 0)</f>
        <v>1</v>
      </c>
      <c r="AM27" s="2">
        <f>IF( COUNTIFS(B:B, Calculate_Business_Metadata[[#This Row],[Business Attribute Name]], D:D, Calculate_Business_Metadata[[#This Row],[Column Name]], L:L, Calculate_Business_Metadata[[#This Row],[Subdomain]]) &gt; 1, 0, 1)</f>
        <v>1</v>
      </c>
      <c r="AN27" s="2" t="str">
        <f>LEFT(Calculate_Business_Metadata[[#This Row],[Business Definition (EN)]], 150)</f>
        <v>TBC</v>
      </c>
      <c r="AO27" s="2">
        <f ca="1">IF( COUNTIFS(AO:AO,AN27, B:B, Calculate_Business_Metadata[[#This Row],[Business Attribute Name]],L:L, Calculate_Business_Metadata[[#This Row],[Subdomain]]) &lt;&gt; 1, 0, 1)</f>
        <v>0</v>
      </c>
      <c r="AP27" s="2">
        <f>IF(COUNTIFS(B:B, Calculate_Business_Metadata[[#This Row],[Business Attribute Name]], D:D, Calculate_Business_Metadata[[#This Row],[Column Name]], AN:AN, AN27) &gt;1, 0, 1)</f>
        <v>1</v>
      </c>
      <c r="AR27" s="2">
        <f>IF(COUNTIFS('Cal_Technical - Column'!D:D, Calculate_Business_Metadata[[#This Row],[Column Name]])&gt; 0, 1, 0)</f>
        <v>1</v>
      </c>
    </row>
    <row r="28" spans="1:44" ht="140" x14ac:dyDescent="0.3">
      <c r="A28" s="74">
        <v>27</v>
      </c>
      <c r="B28" s="74" t="s">
        <v>187</v>
      </c>
      <c r="C28" s="1" t="s">
        <v>188</v>
      </c>
      <c r="D28" s="74" t="s">
        <v>93</v>
      </c>
      <c r="E28" s="74" t="s">
        <v>43</v>
      </c>
      <c r="F28" s="2" t="s">
        <v>47</v>
      </c>
      <c r="G28" s="74" t="s">
        <v>189</v>
      </c>
      <c r="H28" s="74" t="s">
        <v>113</v>
      </c>
      <c r="I28" s="74" t="s">
        <v>114</v>
      </c>
      <c r="J28" s="70">
        <v>45300</v>
      </c>
      <c r="K28" s="74" t="s">
        <v>57</v>
      </c>
      <c r="L28" s="74" t="s">
        <v>38</v>
      </c>
      <c r="N28" s="2">
        <f>IF(ISBLANK(Calculate_Business_Metadata[[#This Row],[Business Attribute Name]])=TRUE, 0, 1)</f>
        <v>1</v>
      </c>
      <c r="O28" s="2">
        <f>IF(ISBLANK(Calculate_Business_Metadata[[#This Row],[Business Definition (EN)]])=TRUE, 0, 1)</f>
        <v>1</v>
      </c>
      <c r="P28" s="2">
        <f>IF(ISBLANK(Calculate_Business_Metadata[[#This Row],[Column Name]])=TRUE, 0, 1)</f>
        <v>1</v>
      </c>
      <c r="Q28" s="2">
        <f>IF(ISBLANK(Calculate_Business_Metadata[[#This Row],[PII/Non-PII]])=TRUE, 0, 1)</f>
        <v>1</v>
      </c>
      <c r="R28" s="2" t="b">
        <f>ISERROR(FIND("-", Calculate_Business_Metadata[[#This Row],[List of Allowable Values]]))</f>
        <v>0</v>
      </c>
      <c r="S28" s="2" t="b">
        <f>ISERROR(FIND("Flag",Calculate_Business_Metadata[[#This Row],[List of Allowable Values]], 1))</f>
        <v>1</v>
      </c>
      <c r="T28" s="2" t="b">
        <f>ISERROR(FIND("In this case, the list of allowable values can be contact",Calculate_Business_Metadata[[#This Row],[List of Allowable Values]], 1))</f>
        <v>1</v>
      </c>
      <c r="U28" s="2" t="b">
        <f>ISERROR(FIND("In this case, the list of allowable values can be found",Calculate_Business_Metadata[[#This Row],[List of Allowable Values]], 1))</f>
        <v>1</v>
      </c>
      <c r="V28" s="2" t="b">
        <f>ISERROR(FIND("list of allowable values",Calculate_Business_Metadata[[#This Row],[List of Allowable Values]], 1))</f>
        <v>1</v>
      </c>
      <c r="W28" s="2">
        <f t="shared" si="0"/>
        <v>1</v>
      </c>
      <c r="X28" s="2">
        <f>IF(ISBLANK(Calculate_Business_Metadata[[#This Row],[Sample Data]])=TRUE, 0, 1)</f>
        <v>1</v>
      </c>
      <c r="Y28" s="2">
        <f>IF(ISBLANK(Calculate_Business_Metadata[[#This Row],[Business Data Steward]])=TRUE, 0, 1)</f>
        <v>1</v>
      </c>
      <c r="Z28" s="2">
        <f>IF(ISBLANK(Calculate_Business_Metadata[[#This Row],[Data Owner]])=TRUE, 0, 1)</f>
        <v>1</v>
      </c>
      <c r="AA28" s="2">
        <f>IF(ISBLANK(Calculate_Business_Metadata[[#This Row],[Updated Date]])=TRUE, 0, 1)</f>
        <v>1</v>
      </c>
      <c r="AB28" s="2">
        <f>IF(ISBLANK(Calculate_Business_Metadata[[#This Row],[Updated By]])=TRUE, 0, 1)</f>
        <v>1</v>
      </c>
      <c r="AD28" s="2">
        <f>IF(OR(
ISERROR(FIND("  ",Calculate_Business_Metadata[[#This Row],[Business Attribute Name]], 1))=FALSE,
ISERROR(FIND("_",Calculate_Business_Metadata[[#This Row],[Business Attribute Name]], 1))=FALSE)=TRUE, 0, 1)</f>
        <v>1</v>
      </c>
      <c r="AE28" s="2">
        <f>IF(OR(
ISERROR(FIND("  ",Calculate_Business_Metadata[[#This Row],[Business Definition (EN)]], 1))=FALSE,
ISERROR(FIND("__",Calculate_Business_Metadata[[#This Row],[Business Definition (EN)]], 1))=FALSE)=TRUE, 0, 1)</f>
        <v>1</v>
      </c>
      <c r="AF28" s="2">
        <f>IF(OR(
ISERROR(FIND("  ",Calculate_Business_Metadata[[#This Row],[Column Name]], 1))=FALSE,
ISERROR(FIND("__",Calculate_Business_Metadata[[#This Row],[Column Name]], 1))=FALSE)=TRUE, 0, 1)</f>
        <v>1</v>
      </c>
      <c r="AG28" s="2">
        <f>IF(OR(
ISERROR(FIND("  ",Calculate_Business_Metadata[[#This Row],[Business Data Steward]], 1))=FALSE,
ISERROR(FIND("_",Calculate_Business_Metadata[[#This Row],[Business Data Steward]], 1))=FALSE)=TRUE, 0, 1)</f>
        <v>1</v>
      </c>
      <c r="AH28" s="2">
        <f>IF(OR(
ISERROR(FIND("  ",Calculate_Business_Metadata[[#This Row],[Data Owner]], 1))=FALSE,
ISERROR(FIND("_",Calculate_Business_Metadata[[#This Row],[Data Owner]], 1))=FALSE)=TRUE, 0, 1)</f>
        <v>1</v>
      </c>
      <c r="AI28" s="2">
        <f>IF(OR(
ISERROR(FIND("  ",Calculate_Business_Metadata[[#This Row],[Updated By]], 1))=FALSE,
ISERROR(FIND("_",Calculate_Business_Metadata[[#This Row],[Updated By]], 1))=FALSE)=TRUE, 0, 1)</f>
        <v>1</v>
      </c>
      <c r="AK28" s="2">
        <f>IF(OR(ISERROR(FIND("PII",Calculate_Business_Metadata[[#This Row],[PII/Non-PII]], 1))=FALSE, ISERROR(FIND("PII",Calculate_Business_Metadata[[#This Row],[PII/Non-PII]], 1))=FALSE)=TRUE, 1, 0)</f>
        <v>1</v>
      </c>
      <c r="AM28" s="2">
        <f>IF( COUNTIFS(B:B, Calculate_Business_Metadata[[#This Row],[Business Attribute Name]], D:D, Calculate_Business_Metadata[[#This Row],[Column Name]], L:L, Calculate_Business_Metadata[[#This Row],[Subdomain]]) &gt; 1, 0, 1)</f>
        <v>1</v>
      </c>
      <c r="AN28" s="2" t="str">
        <f>LEFT(Calculate_Business_Metadata[[#This Row],[Business Definition (EN)]], 150)</f>
        <v>Scb Asset under Management Amount refers to the value of all assets under management of Siam Commercial Bank. (including SCB Asset Management Co., Ltd</v>
      </c>
      <c r="AO28" s="2">
        <f ca="1">IF( COUNTIFS(AO:AO,AN28, B:B, Calculate_Business_Metadata[[#This Row],[Business Attribute Name]],L:L, Calculate_Business_Metadata[[#This Row],[Subdomain]]) &lt;&gt; 1, 0, 1)</f>
        <v>0</v>
      </c>
      <c r="AP28" s="2">
        <f>IF(COUNTIFS(B:B, Calculate_Business_Metadata[[#This Row],[Business Attribute Name]], D:D, Calculate_Business_Metadata[[#This Row],[Column Name]], AN:AN, AN28) &gt;1, 0, 1)</f>
        <v>1</v>
      </c>
      <c r="AR28" s="2">
        <f>IF(COUNTIFS('Cal_Technical - Column'!D:D, Calculate_Business_Metadata[[#This Row],[Column Name]])&gt; 0, 1, 0)</f>
        <v>1</v>
      </c>
    </row>
    <row r="29" spans="1:44" ht="14" x14ac:dyDescent="0.3">
      <c r="A29" s="74">
        <v>28</v>
      </c>
      <c r="B29" s="74" t="s">
        <v>190</v>
      </c>
      <c r="C29" s="1" t="s">
        <v>137</v>
      </c>
      <c r="D29" s="74" t="s">
        <v>94</v>
      </c>
      <c r="E29" s="74" t="s">
        <v>43</v>
      </c>
      <c r="F29" s="2" t="s">
        <v>47</v>
      </c>
      <c r="G29" s="74" t="s">
        <v>191</v>
      </c>
      <c r="H29" s="74" t="s">
        <v>113</v>
      </c>
      <c r="I29" s="74" t="s">
        <v>114</v>
      </c>
      <c r="J29" s="70">
        <v>45300</v>
      </c>
      <c r="K29" s="74" t="s">
        <v>57</v>
      </c>
      <c r="L29" s="74" t="s">
        <v>38</v>
      </c>
      <c r="N29" s="2">
        <f>IF(ISBLANK(Calculate_Business_Metadata[[#This Row],[Business Attribute Name]])=TRUE, 0, 1)</f>
        <v>1</v>
      </c>
      <c r="O29" s="2">
        <f>IF(ISBLANK(Calculate_Business_Metadata[[#This Row],[Business Definition (EN)]])=TRUE, 0, 1)</f>
        <v>1</v>
      </c>
      <c r="P29" s="2">
        <f>IF(ISBLANK(Calculate_Business_Metadata[[#This Row],[Column Name]])=TRUE, 0, 1)</f>
        <v>1</v>
      </c>
      <c r="Q29" s="2">
        <f>IF(ISBLANK(Calculate_Business_Metadata[[#This Row],[PII/Non-PII]])=TRUE, 0, 1)</f>
        <v>1</v>
      </c>
      <c r="R29" s="2" t="b">
        <f>ISERROR(FIND("-", Calculate_Business_Metadata[[#This Row],[List of Allowable Values]]))</f>
        <v>0</v>
      </c>
      <c r="S29" s="2" t="b">
        <f>ISERROR(FIND("Flag",Calculate_Business_Metadata[[#This Row],[List of Allowable Values]], 1))</f>
        <v>1</v>
      </c>
      <c r="T29" s="2" t="b">
        <f>ISERROR(FIND("In this case, the list of allowable values can be contact",Calculate_Business_Metadata[[#This Row],[List of Allowable Values]], 1))</f>
        <v>1</v>
      </c>
      <c r="U29" s="2" t="b">
        <f>ISERROR(FIND("In this case, the list of allowable values can be found",Calculate_Business_Metadata[[#This Row],[List of Allowable Values]], 1))</f>
        <v>1</v>
      </c>
      <c r="V29" s="2" t="b">
        <f>ISERROR(FIND("list of allowable values",Calculate_Business_Metadata[[#This Row],[List of Allowable Values]], 1))</f>
        <v>1</v>
      </c>
      <c r="W29" s="2">
        <f t="shared" si="0"/>
        <v>1</v>
      </c>
      <c r="X29" s="2">
        <f>IF(ISBLANK(Calculate_Business_Metadata[[#This Row],[Sample Data]])=TRUE, 0, 1)</f>
        <v>1</v>
      </c>
      <c r="Y29" s="2">
        <f>IF(ISBLANK(Calculate_Business_Metadata[[#This Row],[Business Data Steward]])=TRUE, 0, 1)</f>
        <v>1</v>
      </c>
      <c r="Z29" s="2">
        <f>IF(ISBLANK(Calculate_Business_Metadata[[#This Row],[Data Owner]])=TRUE, 0, 1)</f>
        <v>1</v>
      </c>
      <c r="AA29" s="2">
        <f>IF(ISBLANK(Calculate_Business_Metadata[[#This Row],[Updated Date]])=TRUE, 0, 1)</f>
        <v>1</v>
      </c>
      <c r="AB29" s="2">
        <f>IF(ISBLANK(Calculate_Business_Metadata[[#This Row],[Updated By]])=TRUE, 0, 1)</f>
        <v>1</v>
      </c>
      <c r="AD29" s="2">
        <f>IF(OR(
ISERROR(FIND("  ",Calculate_Business_Metadata[[#This Row],[Business Attribute Name]], 1))=FALSE,
ISERROR(FIND("_",Calculate_Business_Metadata[[#This Row],[Business Attribute Name]], 1))=FALSE)=TRUE, 0, 1)</f>
        <v>1</v>
      </c>
      <c r="AE29" s="2">
        <f>IF(OR(
ISERROR(FIND("  ",Calculate_Business_Metadata[[#This Row],[Business Definition (EN)]], 1))=FALSE,
ISERROR(FIND("__",Calculate_Business_Metadata[[#This Row],[Business Definition (EN)]], 1))=FALSE)=TRUE, 0, 1)</f>
        <v>1</v>
      </c>
      <c r="AF29" s="2">
        <f>IF(OR(
ISERROR(FIND("  ",Calculate_Business_Metadata[[#This Row],[Column Name]], 1))=FALSE,
ISERROR(FIND("__",Calculate_Business_Metadata[[#This Row],[Column Name]], 1))=FALSE)=TRUE, 0, 1)</f>
        <v>1</v>
      </c>
      <c r="AG29" s="2">
        <f>IF(OR(
ISERROR(FIND("  ",Calculate_Business_Metadata[[#This Row],[Business Data Steward]], 1))=FALSE,
ISERROR(FIND("_",Calculate_Business_Metadata[[#This Row],[Business Data Steward]], 1))=FALSE)=TRUE, 0, 1)</f>
        <v>1</v>
      </c>
      <c r="AH29" s="2">
        <f>IF(OR(
ISERROR(FIND("  ",Calculate_Business_Metadata[[#This Row],[Data Owner]], 1))=FALSE,
ISERROR(FIND("_",Calculate_Business_Metadata[[#This Row],[Data Owner]], 1))=FALSE)=TRUE, 0, 1)</f>
        <v>1</v>
      </c>
      <c r="AI29" s="2">
        <f>IF(OR(
ISERROR(FIND("  ",Calculate_Business_Metadata[[#This Row],[Updated By]], 1))=FALSE,
ISERROR(FIND("_",Calculate_Business_Metadata[[#This Row],[Updated By]], 1))=FALSE)=TRUE, 0, 1)</f>
        <v>1</v>
      </c>
      <c r="AK29" s="2">
        <f>IF(OR(ISERROR(FIND("PII",Calculate_Business_Metadata[[#This Row],[PII/Non-PII]], 1))=FALSE, ISERROR(FIND("PII",Calculate_Business_Metadata[[#This Row],[PII/Non-PII]], 1))=FALSE)=TRUE, 1, 0)</f>
        <v>1</v>
      </c>
      <c r="AM29" s="2">
        <f>IF( COUNTIFS(B:B, Calculate_Business_Metadata[[#This Row],[Business Attribute Name]], D:D, Calculate_Business_Metadata[[#This Row],[Column Name]], L:L, Calculate_Business_Metadata[[#This Row],[Subdomain]]) &gt; 1, 0, 1)</f>
        <v>1</v>
      </c>
      <c r="AN29" s="2" t="str">
        <f>LEFT(Calculate_Business_Metadata[[#This Row],[Business Definition (EN)]], 150)</f>
        <v>TBC</v>
      </c>
      <c r="AO29" s="2">
        <f ca="1">IF( COUNTIFS(AO:AO,AN29, B:B, Calculate_Business_Metadata[[#This Row],[Business Attribute Name]],L:L, Calculate_Business_Metadata[[#This Row],[Subdomain]]) &lt;&gt; 1, 0, 1)</f>
        <v>0</v>
      </c>
      <c r="AP29" s="2">
        <f>IF(COUNTIFS(B:B, Calculate_Business_Metadata[[#This Row],[Business Attribute Name]], D:D, Calculate_Business_Metadata[[#This Row],[Column Name]], AN:AN, AN29) &gt;1, 0, 1)</f>
        <v>1</v>
      </c>
      <c r="AR29" s="2">
        <f>IF(COUNTIFS('Cal_Technical - Column'!D:D, Calculate_Business_Metadata[[#This Row],[Column Name]])&gt; 0, 1, 0)</f>
        <v>1</v>
      </c>
    </row>
    <row r="30" spans="1:44" ht="409.5" x14ac:dyDescent="0.3">
      <c r="A30" s="74">
        <v>29</v>
      </c>
      <c r="B30" s="74" t="s">
        <v>192</v>
      </c>
      <c r="C30" s="1" t="s">
        <v>193</v>
      </c>
      <c r="D30" s="74" t="s">
        <v>95</v>
      </c>
      <c r="E30" s="74" t="s">
        <v>43</v>
      </c>
      <c r="F30" s="2" t="s">
        <v>47</v>
      </c>
      <c r="G30" s="74" t="s">
        <v>194</v>
      </c>
      <c r="H30" s="74" t="s">
        <v>113</v>
      </c>
      <c r="I30" s="74" t="s">
        <v>114</v>
      </c>
      <c r="J30" s="70">
        <v>45264</v>
      </c>
      <c r="K30" s="74" t="s">
        <v>57</v>
      </c>
      <c r="L30" s="74" t="s">
        <v>38</v>
      </c>
      <c r="N30" s="2">
        <f>IF(ISBLANK(Calculate_Business_Metadata[[#This Row],[Business Attribute Name]])=TRUE, 0, 1)</f>
        <v>1</v>
      </c>
      <c r="O30" s="2">
        <f>IF(ISBLANK(Calculate_Business_Metadata[[#This Row],[Business Definition (EN)]])=TRUE, 0, 1)</f>
        <v>1</v>
      </c>
      <c r="P30" s="2">
        <f>IF(ISBLANK(Calculate_Business_Metadata[[#This Row],[Column Name]])=TRUE, 0, 1)</f>
        <v>1</v>
      </c>
      <c r="Q30" s="2">
        <f>IF(ISBLANK(Calculate_Business_Metadata[[#This Row],[PII/Non-PII]])=TRUE, 0, 1)</f>
        <v>1</v>
      </c>
      <c r="R30" s="2" t="b">
        <f>ISERROR(FIND("-", Calculate_Business_Metadata[[#This Row],[List of Allowable Values]]))</f>
        <v>0</v>
      </c>
      <c r="S30" s="2" t="b">
        <f>ISERROR(FIND("Flag",Calculate_Business_Metadata[[#This Row],[List of Allowable Values]], 1))</f>
        <v>1</v>
      </c>
      <c r="T30" s="2" t="b">
        <f>ISERROR(FIND("In this case, the list of allowable values can be contact",Calculate_Business_Metadata[[#This Row],[List of Allowable Values]], 1))</f>
        <v>1</v>
      </c>
      <c r="U30" s="2" t="b">
        <f>ISERROR(FIND("In this case, the list of allowable values can be found",Calculate_Business_Metadata[[#This Row],[List of Allowable Values]], 1))</f>
        <v>1</v>
      </c>
      <c r="V30" s="2" t="b">
        <f>ISERROR(FIND("list of allowable values",Calculate_Business_Metadata[[#This Row],[List of Allowable Values]], 1))</f>
        <v>1</v>
      </c>
      <c r="W30" s="2">
        <f t="shared" si="0"/>
        <v>1</v>
      </c>
      <c r="X30" s="2">
        <f>IF(ISBLANK(Calculate_Business_Metadata[[#This Row],[Sample Data]])=TRUE, 0, 1)</f>
        <v>1</v>
      </c>
      <c r="Y30" s="2">
        <f>IF(ISBLANK(Calculate_Business_Metadata[[#This Row],[Business Data Steward]])=TRUE, 0, 1)</f>
        <v>1</v>
      </c>
      <c r="Z30" s="2">
        <f>IF(ISBLANK(Calculate_Business_Metadata[[#This Row],[Data Owner]])=TRUE, 0, 1)</f>
        <v>1</v>
      </c>
      <c r="AA30" s="2">
        <f>IF(ISBLANK(Calculate_Business_Metadata[[#This Row],[Updated Date]])=TRUE, 0, 1)</f>
        <v>1</v>
      </c>
      <c r="AB30" s="2">
        <f>IF(ISBLANK(Calculate_Business_Metadata[[#This Row],[Updated By]])=TRUE, 0, 1)</f>
        <v>1</v>
      </c>
      <c r="AD30" s="2">
        <f>IF(OR(
ISERROR(FIND("  ",Calculate_Business_Metadata[[#This Row],[Business Attribute Name]], 1))=FALSE,
ISERROR(FIND("_",Calculate_Business_Metadata[[#This Row],[Business Attribute Name]], 1))=FALSE)=TRUE, 0, 1)</f>
        <v>1</v>
      </c>
      <c r="AE30" s="2">
        <f>IF(OR(
ISERROR(FIND("  ",Calculate_Business_Metadata[[#This Row],[Business Definition (EN)]], 1))=FALSE,
ISERROR(FIND("__",Calculate_Business_Metadata[[#This Row],[Business Definition (EN)]], 1))=FALSE)=TRUE, 0, 1)</f>
        <v>1</v>
      </c>
      <c r="AF30" s="2">
        <f>IF(OR(
ISERROR(FIND("  ",Calculate_Business_Metadata[[#This Row],[Column Name]], 1))=FALSE,
ISERROR(FIND("__",Calculate_Business_Metadata[[#This Row],[Column Name]], 1))=FALSE)=TRUE, 0, 1)</f>
        <v>1</v>
      </c>
      <c r="AG30" s="2">
        <f>IF(OR(
ISERROR(FIND("  ",Calculate_Business_Metadata[[#This Row],[Business Data Steward]], 1))=FALSE,
ISERROR(FIND("_",Calculate_Business_Metadata[[#This Row],[Business Data Steward]], 1))=FALSE)=TRUE, 0, 1)</f>
        <v>1</v>
      </c>
      <c r="AH30" s="2">
        <f>IF(OR(
ISERROR(FIND("  ",Calculate_Business_Metadata[[#This Row],[Data Owner]], 1))=FALSE,
ISERROR(FIND("_",Calculate_Business_Metadata[[#This Row],[Data Owner]], 1))=FALSE)=TRUE, 0, 1)</f>
        <v>1</v>
      </c>
      <c r="AI30" s="2">
        <f>IF(OR(
ISERROR(FIND("  ",Calculate_Business_Metadata[[#This Row],[Updated By]], 1))=FALSE,
ISERROR(FIND("_",Calculate_Business_Metadata[[#This Row],[Updated By]], 1))=FALSE)=TRUE, 0, 1)</f>
        <v>1</v>
      </c>
      <c r="AK30" s="2">
        <f>IF(OR(ISERROR(FIND("PII",Calculate_Business_Metadata[[#This Row],[PII/Non-PII]], 1))=FALSE, ISERROR(FIND("PII",Calculate_Business_Metadata[[#This Row],[PII/Non-PII]], 1))=FALSE)=TRUE, 1, 0)</f>
        <v>1</v>
      </c>
      <c r="AM30" s="2">
        <f>IF( COUNTIFS(B:B, Calculate_Business_Metadata[[#This Row],[Business Attribute Name]], D:D, Calculate_Business_Metadata[[#This Row],[Column Name]], L:L, Calculate_Business_Metadata[[#This Row],[Subdomain]]) &gt; 1, 0, 1)</f>
        <v>1</v>
      </c>
      <c r="AN30" s="2" t="str">
        <f>LEFT(Calculate_Business_Metadata[[#This Row],[Business Definition (EN)]], 150)</f>
        <v>Suitability score refers to a score based on an investment suitability assessment, which is an ethical and enforceable standard regarding investments.</v>
      </c>
      <c r="AO30" s="2">
        <f ca="1">IF( COUNTIFS(AO:AO,AN30, B:B, Calculate_Business_Metadata[[#This Row],[Business Attribute Name]],L:L, Calculate_Business_Metadata[[#This Row],[Subdomain]]) &lt;&gt; 1, 0, 1)</f>
        <v>0</v>
      </c>
      <c r="AP30" s="2">
        <f>IF(COUNTIFS(B:B, Calculate_Business_Metadata[[#This Row],[Business Attribute Name]], D:D, Calculate_Business_Metadata[[#This Row],[Column Name]], AN:AN, AN30) &gt;1, 0, 1)</f>
        <v>1</v>
      </c>
      <c r="AR30" s="2">
        <f>IF(COUNTIFS('Cal_Technical - Column'!D:D, Calculate_Business_Metadata[[#This Row],[Column Name]])&gt; 0, 1, 0)</f>
        <v>1</v>
      </c>
    </row>
    <row r="31" spans="1:44" ht="196" x14ac:dyDescent="0.3">
      <c r="A31" s="74">
        <v>30</v>
      </c>
      <c r="B31" s="74" t="s">
        <v>195</v>
      </c>
      <c r="C31" s="1" t="s">
        <v>196</v>
      </c>
      <c r="D31" s="74" t="s">
        <v>96</v>
      </c>
      <c r="E31" s="74" t="s">
        <v>43</v>
      </c>
      <c r="F31" s="2" t="s">
        <v>47</v>
      </c>
      <c r="G31" s="74" t="s">
        <v>197</v>
      </c>
      <c r="H31" s="74" t="s">
        <v>113</v>
      </c>
      <c r="I31" s="74" t="s">
        <v>114</v>
      </c>
      <c r="J31" s="70">
        <v>45264</v>
      </c>
      <c r="K31" s="74" t="s">
        <v>57</v>
      </c>
      <c r="L31" s="74" t="s">
        <v>38</v>
      </c>
      <c r="N31" s="2">
        <f>IF(ISBLANK(Calculate_Business_Metadata[[#This Row],[Business Attribute Name]])=TRUE, 0, 1)</f>
        <v>1</v>
      </c>
      <c r="O31" s="2">
        <f>IF(ISBLANK(Calculate_Business_Metadata[[#This Row],[Business Definition (EN)]])=TRUE, 0, 1)</f>
        <v>1</v>
      </c>
      <c r="P31" s="2">
        <f>IF(ISBLANK(Calculate_Business_Metadata[[#This Row],[Column Name]])=TRUE, 0, 1)</f>
        <v>1</v>
      </c>
      <c r="Q31" s="2">
        <f>IF(ISBLANK(Calculate_Business_Metadata[[#This Row],[PII/Non-PII]])=TRUE, 0, 1)</f>
        <v>1</v>
      </c>
      <c r="R31" s="2" t="b">
        <f>ISERROR(FIND("-", Calculate_Business_Metadata[[#This Row],[List of Allowable Values]]))</f>
        <v>0</v>
      </c>
      <c r="S31" s="2" t="b">
        <f>ISERROR(FIND("Flag",Calculate_Business_Metadata[[#This Row],[List of Allowable Values]], 1))</f>
        <v>1</v>
      </c>
      <c r="T31" s="2" t="b">
        <f>ISERROR(FIND("In this case, the list of allowable values can be contact",Calculate_Business_Metadata[[#This Row],[List of Allowable Values]], 1))</f>
        <v>1</v>
      </c>
      <c r="U31" s="2" t="b">
        <f>ISERROR(FIND("In this case, the list of allowable values can be found",Calculate_Business_Metadata[[#This Row],[List of Allowable Values]], 1))</f>
        <v>1</v>
      </c>
      <c r="V31" s="2" t="b">
        <f>ISERROR(FIND("list of allowable values",Calculate_Business_Metadata[[#This Row],[List of Allowable Values]], 1))</f>
        <v>1</v>
      </c>
      <c r="W31" s="2">
        <f t="shared" si="0"/>
        <v>1</v>
      </c>
      <c r="X31" s="2">
        <f>IF(ISBLANK(Calculate_Business_Metadata[[#This Row],[Sample Data]])=TRUE, 0, 1)</f>
        <v>1</v>
      </c>
      <c r="Y31" s="2">
        <f>IF(ISBLANK(Calculate_Business_Metadata[[#This Row],[Business Data Steward]])=TRUE, 0, 1)</f>
        <v>1</v>
      </c>
      <c r="Z31" s="2">
        <f>IF(ISBLANK(Calculate_Business_Metadata[[#This Row],[Data Owner]])=TRUE, 0, 1)</f>
        <v>1</v>
      </c>
      <c r="AA31" s="2">
        <f>IF(ISBLANK(Calculate_Business_Metadata[[#This Row],[Updated Date]])=TRUE, 0, 1)</f>
        <v>1</v>
      </c>
      <c r="AB31" s="2">
        <f>IF(ISBLANK(Calculate_Business_Metadata[[#This Row],[Updated By]])=TRUE, 0, 1)</f>
        <v>1</v>
      </c>
      <c r="AD31" s="2">
        <f>IF(OR(
ISERROR(FIND("  ",Calculate_Business_Metadata[[#This Row],[Business Attribute Name]], 1))=FALSE,
ISERROR(FIND("_",Calculate_Business_Metadata[[#This Row],[Business Attribute Name]], 1))=FALSE)=TRUE, 0, 1)</f>
        <v>1</v>
      </c>
      <c r="AE31" s="2">
        <f>IF(OR(
ISERROR(FIND("  ",Calculate_Business_Metadata[[#This Row],[Business Definition (EN)]], 1))=FALSE,
ISERROR(FIND("__",Calculate_Business_Metadata[[#This Row],[Business Definition (EN)]], 1))=FALSE)=TRUE, 0, 1)</f>
        <v>1</v>
      </c>
      <c r="AF31" s="2">
        <f>IF(OR(
ISERROR(FIND("  ",Calculate_Business_Metadata[[#This Row],[Column Name]], 1))=FALSE,
ISERROR(FIND("__",Calculate_Business_Metadata[[#This Row],[Column Name]], 1))=FALSE)=TRUE, 0, 1)</f>
        <v>1</v>
      </c>
      <c r="AG31" s="2">
        <f>IF(OR(
ISERROR(FIND("  ",Calculate_Business_Metadata[[#This Row],[Business Data Steward]], 1))=FALSE,
ISERROR(FIND("_",Calculate_Business_Metadata[[#This Row],[Business Data Steward]], 1))=FALSE)=TRUE, 0, 1)</f>
        <v>1</v>
      </c>
      <c r="AH31" s="2">
        <f>IF(OR(
ISERROR(FIND("  ",Calculate_Business_Metadata[[#This Row],[Data Owner]], 1))=FALSE,
ISERROR(FIND("_",Calculate_Business_Metadata[[#This Row],[Data Owner]], 1))=FALSE)=TRUE, 0, 1)</f>
        <v>1</v>
      </c>
      <c r="AI31" s="2">
        <f>IF(OR(
ISERROR(FIND("  ",Calculate_Business_Metadata[[#This Row],[Updated By]], 1))=FALSE,
ISERROR(FIND("_",Calculate_Business_Metadata[[#This Row],[Updated By]], 1))=FALSE)=TRUE, 0, 1)</f>
        <v>1</v>
      </c>
      <c r="AK31" s="2">
        <f>IF(OR(ISERROR(FIND("PII",Calculate_Business_Metadata[[#This Row],[PII/Non-PII]], 1))=FALSE, ISERROR(FIND("PII",Calculate_Business_Metadata[[#This Row],[PII/Non-PII]], 1))=FALSE)=TRUE, 1, 0)</f>
        <v>1</v>
      </c>
      <c r="AM31" s="2">
        <f>IF( COUNTIFS(B:B, Calculate_Business_Metadata[[#This Row],[Business Attribute Name]], D:D, Calculate_Business_Metadata[[#This Row],[Column Name]], L:L, Calculate_Business_Metadata[[#This Row],[Subdomain]]) &gt; 1, 0, 1)</f>
        <v>1</v>
      </c>
      <c r="AN31" s="2" t="str">
        <f>LEFT(Calculate_Business_Metadata[[#This Row],[Business Definition (EN)]], 150)</f>
        <v>Suitability review Date refers to the date the investment suitability score is reviewed. To ensure that the asset or product is suitable for the inves</v>
      </c>
      <c r="AO31" s="2">
        <f ca="1">IF( COUNTIFS(AO:AO,AN31, B:B, Calculate_Business_Metadata[[#This Row],[Business Attribute Name]],L:L, Calculate_Business_Metadata[[#This Row],[Subdomain]]) &lt;&gt; 1, 0, 1)</f>
        <v>0</v>
      </c>
      <c r="AP31" s="2">
        <f>IF(COUNTIFS(B:B, Calculate_Business_Metadata[[#This Row],[Business Attribute Name]], D:D, Calculate_Business_Metadata[[#This Row],[Column Name]], AN:AN, AN31) &gt;1, 0, 1)</f>
        <v>1</v>
      </c>
      <c r="AR31" s="2">
        <f>IF(COUNTIFS('Cal_Technical - Column'!D:D, Calculate_Business_Metadata[[#This Row],[Column Name]])&gt; 0, 1, 0)</f>
        <v>1</v>
      </c>
    </row>
    <row r="32" spans="1:44" ht="409.5" x14ac:dyDescent="0.3">
      <c r="A32" s="74">
        <v>31</v>
      </c>
      <c r="B32" s="74" t="s">
        <v>516</v>
      </c>
      <c r="C32" s="1" t="s">
        <v>517</v>
      </c>
      <c r="D32" s="74" t="s">
        <v>471</v>
      </c>
      <c r="E32" s="74" t="s">
        <v>54</v>
      </c>
      <c r="F32" s="2" t="s">
        <v>47</v>
      </c>
      <c r="G32" s="74" t="s">
        <v>518</v>
      </c>
      <c r="H32" s="74" t="s">
        <v>113</v>
      </c>
      <c r="I32" s="74" t="s">
        <v>114</v>
      </c>
      <c r="J32" s="70">
        <v>45372</v>
      </c>
      <c r="K32" s="74" t="s">
        <v>49</v>
      </c>
      <c r="L32" s="74" t="s">
        <v>519</v>
      </c>
      <c r="N32" s="2">
        <f>IF(ISBLANK(Calculate_Business_Metadata[[#This Row],[Business Attribute Name]])=TRUE, 0, 1)</f>
        <v>1</v>
      </c>
      <c r="O32" s="2">
        <f>IF(ISBLANK(Calculate_Business_Metadata[[#This Row],[Business Definition (EN)]])=TRUE, 0, 1)</f>
        <v>1</v>
      </c>
      <c r="P32" s="2">
        <f>IF(ISBLANK(Calculate_Business_Metadata[[#This Row],[Column Name]])=TRUE, 0, 1)</f>
        <v>1</v>
      </c>
      <c r="Q32" s="2">
        <f>IF(ISBLANK(Calculate_Business_Metadata[[#This Row],[PII/Non-PII]])=TRUE, 0, 1)</f>
        <v>1</v>
      </c>
      <c r="R32" s="2" t="b">
        <f>ISERROR(FIND("-", Calculate_Business_Metadata[[#This Row],[List of Allowable Values]]))</f>
        <v>0</v>
      </c>
      <c r="S32" s="2" t="b">
        <f>ISERROR(FIND("Flag",Calculate_Business_Metadata[[#This Row],[List of Allowable Values]], 1))</f>
        <v>1</v>
      </c>
      <c r="T32" s="2" t="b">
        <f>ISERROR(FIND("In this case, the list of allowable values can be contact",Calculate_Business_Metadata[[#This Row],[List of Allowable Values]], 1))</f>
        <v>1</v>
      </c>
      <c r="U32" s="2" t="b">
        <f>ISERROR(FIND("In this case, the list of allowable values can be found",Calculate_Business_Metadata[[#This Row],[List of Allowable Values]], 1))</f>
        <v>1</v>
      </c>
      <c r="V32" s="2" t="b">
        <f>ISERROR(FIND("list of allowable values",Calculate_Business_Metadata[[#This Row],[List of Allowable Values]], 1))</f>
        <v>1</v>
      </c>
      <c r="W32" s="2">
        <f t="shared" ref="W32:W68" si="1">IF(OR(R32=TRUE,S32=FALSE, T32=FALSE,U32=FALSE)=TRUE, 1,
IF(AND(R32=FALSE,S32=TRUE)=TRUE, 1, 0))</f>
        <v>1</v>
      </c>
      <c r="X32" s="2">
        <f>IF(ISBLANK(Calculate_Business_Metadata[[#This Row],[Sample Data]])=TRUE, 0, 1)</f>
        <v>1</v>
      </c>
      <c r="Y32" s="2">
        <f>IF(ISBLANK(Calculate_Business_Metadata[[#This Row],[Business Data Steward]])=TRUE, 0, 1)</f>
        <v>1</v>
      </c>
      <c r="Z32" s="2">
        <f>IF(ISBLANK(Calculate_Business_Metadata[[#This Row],[Data Owner]])=TRUE, 0, 1)</f>
        <v>1</v>
      </c>
      <c r="AA32" s="2">
        <f>IF(ISBLANK(Calculate_Business_Metadata[[#This Row],[Updated Date]])=TRUE, 0, 1)</f>
        <v>1</v>
      </c>
      <c r="AB32" s="2">
        <f>IF(ISBLANK(Calculate_Business_Metadata[[#This Row],[Updated By]])=TRUE, 0, 1)</f>
        <v>1</v>
      </c>
      <c r="AD32" s="2">
        <f>IF(OR(
ISERROR(FIND("  ",Calculate_Business_Metadata[[#This Row],[Business Attribute Name]], 1))=FALSE,
ISERROR(FIND("_",Calculate_Business_Metadata[[#This Row],[Business Attribute Name]], 1))=FALSE)=TRUE, 0, 1)</f>
        <v>1</v>
      </c>
      <c r="AE32" s="2">
        <f>IF(OR(
ISERROR(FIND("  ",Calculate_Business_Metadata[[#This Row],[Business Definition (EN)]], 1))=FALSE,
ISERROR(FIND("__",Calculate_Business_Metadata[[#This Row],[Business Definition (EN)]], 1))=FALSE)=TRUE, 0, 1)</f>
        <v>1</v>
      </c>
      <c r="AF32" s="2">
        <f>IF(OR(
ISERROR(FIND("  ",Calculate_Business_Metadata[[#This Row],[Column Name]], 1))=FALSE,
ISERROR(FIND("__",Calculate_Business_Metadata[[#This Row],[Column Name]], 1))=FALSE)=TRUE, 0, 1)</f>
        <v>1</v>
      </c>
      <c r="AG32" s="2">
        <f>IF(OR(
ISERROR(FIND("  ",Calculate_Business_Metadata[[#This Row],[Business Data Steward]], 1))=FALSE,
ISERROR(FIND("_",Calculate_Business_Metadata[[#This Row],[Business Data Steward]], 1))=FALSE)=TRUE, 0, 1)</f>
        <v>1</v>
      </c>
      <c r="AH32" s="2">
        <f>IF(OR(
ISERROR(FIND("  ",Calculate_Business_Metadata[[#This Row],[Data Owner]], 1))=FALSE,
ISERROR(FIND("_",Calculate_Business_Metadata[[#This Row],[Data Owner]], 1))=FALSE)=TRUE, 0, 1)</f>
        <v>1</v>
      </c>
      <c r="AI32" s="2">
        <f>IF(OR(
ISERROR(FIND("  ",Calculate_Business_Metadata[[#This Row],[Updated By]], 1))=FALSE,
ISERROR(FIND("_",Calculate_Business_Metadata[[#This Row],[Updated By]], 1))=FALSE)=TRUE, 0, 1)</f>
        <v>1</v>
      </c>
      <c r="AK32" s="2">
        <f>IF(OR(ISERROR(FIND("PII",Calculate_Business_Metadata[[#This Row],[PII/Non-PII]], 1))=FALSE, ISERROR(FIND("PII",Calculate_Business_Metadata[[#This Row],[PII/Non-PII]], 1))=FALSE)=TRUE, 1, 0)</f>
        <v>1</v>
      </c>
      <c r="AM32" s="2">
        <f>IF( COUNTIFS(B:B, Calculate_Business_Metadata[[#This Row],[Business Attribute Name]], D:D, Calculate_Business_Metadata[[#This Row],[Column Name]], L:L, Calculate_Business_Metadata[[#This Row],[Subdomain]]) &gt; 1, 0, 1)</f>
        <v>1</v>
      </c>
      <c r="AN32" s="2" t="str">
        <f>LEFT(Calculate_Business_Metadata[[#This Row],[Business Definition (EN)]], 150)</f>
        <v>Customer Identification Number, abbreviated to 'Customer ID', is the identifier of customers. The Customer ID can be Thai National ID, Passport, Alien</v>
      </c>
      <c r="AO32" s="2">
        <f ca="1">IF( COUNTIFS(AO:AO,AN32, B:B, Calculate_Business_Metadata[[#This Row],[Business Attribute Name]],L:L, Calculate_Business_Metadata[[#This Row],[Subdomain]]) &lt;&gt; 1, 0, 1)</f>
        <v>0</v>
      </c>
      <c r="AP32" s="2">
        <f>IF(COUNTIFS(B:B, Calculate_Business_Metadata[[#This Row],[Business Attribute Name]], D:D, Calculate_Business_Metadata[[#This Row],[Column Name]], AN:AN, AN32) &gt;1, 0, 1)</f>
        <v>1</v>
      </c>
      <c r="AR32" s="2">
        <f>IF(COUNTIFS('Cal_Technical - Column'!D:D, Calculate_Business_Metadata[[#This Row],[Column Name]])&gt; 0, 1, 0)</f>
        <v>1</v>
      </c>
    </row>
    <row r="33" spans="1:44" ht="112" x14ac:dyDescent="0.3">
      <c r="A33" s="74">
        <v>32</v>
      </c>
      <c r="B33" s="74" t="s">
        <v>520</v>
      </c>
      <c r="C33" s="1" t="s">
        <v>521</v>
      </c>
      <c r="D33" s="74" t="s">
        <v>473</v>
      </c>
      <c r="E33" s="74" t="s">
        <v>54</v>
      </c>
      <c r="F33" s="2" t="s">
        <v>47</v>
      </c>
      <c r="G33" s="74" t="s">
        <v>522</v>
      </c>
      <c r="H33" s="74" t="s">
        <v>113</v>
      </c>
      <c r="I33" s="74" t="s">
        <v>114</v>
      </c>
      <c r="J33" s="70">
        <v>45372</v>
      </c>
      <c r="K33" s="74" t="s">
        <v>49</v>
      </c>
      <c r="L33" s="74" t="s">
        <v>519</v>
      </c>
      <c r="N33" s="2">
        <f>IF(ISBLANK(Calculate_Business_Metadata[[#This Row],[Business Attribute Name]])=TRUE, 0, 1)</f>
        <v>1</v>
      </c>
      <c r="O33" s="2">
        <f>IF(ISBLANK(Calculate_Business_Metadata[[#This Row],[Business Definition (EN)]])=TRUE, 0, 1)</f>
        <v>1</v>
      </c>
      <c r="P33" s="2">
        <f>IF(ISBLANK(Calculate_Business_Metadata[[#This Row],[Column Name]])=TRUE, 0, 1)</f>
        <v>1</v>
      </c>
      <c r="Q33" s="2">
        <f>IF(ISBLANK(Calculate_Business_Metadata[[#This Row],[PII/Non-PII]])=TRUE, 0, 1)</f>
        <v>1</v>
      </c>
      <c r="R33" s="2" t="b">
        <f>ISERROR(FIND("-", Calculate_Business_Metadata[[#This Row],[List of Allowable Values]]))</f>
        <v>0</v>
      </c>
      <c r="S33" s="2" t="b">
        <f>ISERROR(FIND("Flag",Calculate_Business_Metadata[[#This Row],[List of Allowable Values]], 1))</f>
        <v>1</v>
      </c>
      <c r="T33" s="2" t="b">
        <f>ISERROR(FIND("In this case, the list of allowable values can be contact",Calculate_Business_Metadata[[#This Row],[List of Allowable Values]], 1))</f>
        <v>1</v>
      </c>
      <c r="U33" s="2" t="b">
        <f>ISERROR(FIND("In this case, the list of allowable values can be found",Calculate_Business_Metadata[[#This Row],[List of Allowable Values]], 1))</f>
        <v>1</v>
      </c>
      <c r="V33" s="2" t="b">
        <f>ISERROR(FIND("list of allowable values",Calculate_Business_Metadata[[#This Row],[List of Allowable Values]], 1))</f>
        <v>1</v>
      </c>
      <c r="W33" s="2">
        <f t="shared" si="1"/>
        <v>1</v>
      </c>
      <c r="X33" s="2">
        <f>IF(ISBLANK(Calculate_Business_Metadata[[#This Row],[Sample Data]])=TRUE, 0, 1)</f>
        <v>1</v>
      </c>
      <c r="Y33" s="2">
        <f>IF(ISBLANK(Calculate_Business_Metadata[[#This Row],[Business Data Steward]])=TRUE, 0, 1)</f>
        <v>1</v>
      </c>
      <c r="Z33" s="2">
        <f>IF(ISBLANK(Calculate_Business_Metadata[[#This Row],[Data Owner]])=TRUE, 0, 1)</f>
        <v>1</v>
      </c>
      <c r="AA33" s="2">
        <f>IF(ISBLANK(Calculate_Business_Metadata[[#This Row],[Updated Date]])=TRUE, 0, 1)</f>
        <v>1</v>
      </c>
      <c r="AB33" s="2">
        <f>IF(ISBLANK(Calculate_Business_Metadata[[#This Row],[Updated By]])=TRUE, 0, 1)</f>
        <v>1</v>
      </c>
      <c r="AD33" s="2">
        <f>IF(OR(
ISERROR(FIND("  ",Calculate_Business_Metadata[[#This Row],[Business Attribute Name]], 1))=FALSE,
ISERROR(FIND("_",Calculate_Business_Metadata[[#This Row],[Business Attribute Name]], 1))=FALSE)=TRUE, 0, 1)</f>
        <v>1</v>
      </c>
      <c r="AE33" s="2">
        <f>IF(OR(
ISERROR(FIND("  ",Calculate_Business_Metadata[[#This Row],[Business Definition (EN)]], 1))=FALSE,
ISERROR(FIND("__",Calculate_Business_Metadata[[#This Row],[Business Definition (EN)]], 1))=FALSE)=TRUE, 0, 1)</f>
        <v>1</v>
      </c>
      <c r="AF33" s="2">
        <f>IF(OR(
ISERROR(FIND("  ",Calculate_Business_Metadata[[#This Row],[Column Name]], 1))=FALSE,
ISERROR(FIND("__",Calculate_Business_Metadata[[#This Row],[Column Name]], 1))=FALSE)=TRUE, 0, 1)</f>
        <v>1</v>
      </c>
      <c r="AG33" s="2">
        <f>IF(OR(
ISERROR(FIND("  ",Calculate_Business_Metadata[[#This Row],[Business Data Steward]], 1))=FALSE,
ISERROR(FIND("_",Calculate_Business_Metadata[[#This Row],[Business Data Steward]], 1))=FALSE)=TRUE, 0, 1)</f>
        <v>1</v>
      </c>
      <c r="AH33" s="2">
        <f>IF(OR(
ISERROR(FIND("  ",Calculate_Business_Metadata[[#This Row],[Data Owner]], 1))=FALSE,
ISERROR(FIND("_",Calculate_Business_Metadata[[#This Row],[Data Owner]], 1))=FALSE)=TRUE, 0, 1)</f>
        <v>1</v>
      </c>
      <c r="AI33" s="2">
        <f>IF(OR(
ISERROR(FIND("  ",Calculate_Business_Metadata[[#This Row],[Updated By]], 1))=FALSE,
ISERROR(FIND("_",Calculate_Business_Metadata[[#This Row],[Updated By]], 1))=FALSE)=TRUE, 0, 1)</f>
        <v>1</v>
      </c>
      <c r="AK33" s="2">
        <f>IF(OR(ISERROR(FIND("PII",Calculate_Business_Metadata[[#This Row],[PII/Non-PII]], 1))=FALSE, ISERROR(FIND("PII",Calculate_Business_Metadata[[#This Row],[PII/Non-PII]], 1))=FALSE)=TRUE, 1, 0)</f>
        <v>1</v>
      </c>
      <c r="AM33" s="2">
        <f>IF( COUNTIFS(B:B, Calculate_Business_Metadata[[#This Row],[Business Attribute Name]], D:D, Calculate_Business_Metadata[[#This Row],[Column Name]], L:L, Calculate_Business_Metadata[[#This Row],[Subdomain]]) &gt; 1, 0, 1)</f>
        <v>1</v>
      </c>
      <c r="AN33" s="2" t="str">
        <f>LEFT(Calculate_Business_Metadata[[#This Row],[Business Definition (EN)]], 150)</f>
        <v>Account number refers to the account number of investment.The account can be for any products. (e.g. deposit, loan, investment etc.).</v>
      </c>
      <c r="AO33" s="2">
        <f ca="1">IF( COUNTIFS(AO:AO,AN33, B:B, Calculate_Business_Metadata[[#This Row],[Business Attribute Name]],L:L, Calculate_Business_Metadata[[#This Row],[Subdomain]]) &lt;&gt; 1, 0, 1)</f>
        <v>0</v>
      </c>
      <c r="AP33" s="2">
        <f>IF(COUNTIFS(B:B, Calculate_Business_Metadata[[#This Row],[Business Attribute Name]], D:D, Calculate_Business_Metadata[[#This Row],[Column Name]], AN:AN, AN33) &gt;1, 0, 1)</f>
        <v>0</v>
      </c>
      <c r="AR33" s="2">
        <f>IF(COUNTIFS('Cal_Technical - Column'!D:D, Calculate_Business_Metadata[[#This Row],[Column Name]])&gt; 0, 1, 0)</f>
        <v>1</v>
      </c>
    </row>
    <row r="34" spans="1:44" ht="112" x14ac:dyDescent="0.3">
      <c r="A34" s="74">
        <v>33</v>
      </c>
      <c r="B34" s="74" t="s">
        <v>523</v>
      </c>
      <c r="C34" s="1" t="s">
        <v>521</v>
      </c>
      <c r="D34" s="74" t="s">
        <v>474</v>
      </c>
      <c r="E34" s="74" t="s">
        <v>54</v>
      </c>
      <c r="F34" s="2" t="s">
        <v>47</v>
      </c>
      <c r="G34" s="74" t="s">
        <v>522</v>
      </c>
      <c r="H34" s="74" t="s">
        <v>113</v>
      </c>
      <c r="I34" s="74" t="s">
        <v>114</v>
      </c>
      <c r="J34" s="70">
        <v>45372</v>
      </c>
      <c r="K34" s="74" t="s">
        <v>49</v>
      </c>
      <c r="L34" s="74" t="s">
        <v>519</v>
      </c>
      <c r="N34" s="2">
        <f>IF(ISBLANK(Calculate_Business_Metadata[[#This Row],[Business Attribute Name]])=TRUE, 0, 1)</f>
        <v>1</v>
      </c>
      <c r="O34" s="2">
        <f>IF(ISBLANK(Calculate_Business_Metadata[[#This Row],[Business Definition (EN)]])=TRUE, 0, 1)</f>
        <v>1</v>
      </c>
      <c r="P34" s="2">
        <f>IF(ISBLANK(Calculate_Business_Metadata[[#This Row],[Column Name]])=TRUE, 0, 1)</f>
        <v>1</v>
      </c>
      <c r="Q34" s="2">
        <f>IF(ISBLANK(Calculate_Business_Metadata[[#This Row],[PII/Non-PII]])=TRUE, 0, 1)</f>
        <v>1</v>
      </c>
      <c r="R34" s="2" t="b">
        <f>ISERROR(FIND("-", Calculate_Business_Metadata[[#This Row],[List of Allowable Values]]))</f>
        <v>0</v>
      </c>
      <c r="S34" s="2" t="b">
        <f>ISERROR(FIND("Flag",Calculate_Business_Metadata[[#This Row],[List of Allowable Values]], 1))</f>
        <v>1</v>
      </c>
      <c r="T34" s="2" t="b">
        <f>ISERROR(FIND("In this case, the list of allowable values can be contact",Calculate_Business_Metadata[[#This Row],[List of Allowable Values]], 1))</f>
        <v>1</v>
      </c>
      <c r="U34" s="2" t="b">
        <f>ISERROR(FIND("In this case, the list of allowable values can be found",Calculate_Business_Metadata[[#This Row],[List of Allowable Values]], 1))</f>
        <v>1</v>
      </c>
      <c r="V34" s="2" t="b">
        <f>ISERROR(FIND("list of allowable values",Calculate_Business_Metadata[[#This Row],[List of Allowable Values]], 1))</f>
        <v>1</v>
      </c>
      <c r="W34" s="2">
        <f t="shared" si="1"/>
        <v>1</v>
      </c>
      <c r="X34" s="2">
        <f>IF(ISBLANK(Calculate_Business_Metadata[[#This Row],[Sample Data]])=TRUE, 0, 1)</f>
        <v>1</v>
      </c>
      <c r="Y34" s="2">
        <f>IF(ISBLANK(Calculate_Business_Metadata[[#This Row],[Business Data Steward]])=TRUE, 0, 1)</f>
        <v>1</v>
      </c>
      <c r="Z34" s="2">
        <f>IF(ISBLANK(Calculate_Business_Metadata[[#This Row],[Data Owner]])=TRUE, 0, 1)</f>
        <v>1</v>
      </c>
      <c r="AA34" s="2">
        <f>IF(ISBLANK(Calculate_Business_Metadata[[#This Row],[Updated Date]])=TRUE, 0, 1)</f>
        <v>1</v>
      </c>
      <c r="AB34" s="2">
        <f>IF(ISBLANK(Calculate_Business_Metadata[[#This Row],[Updated By]])=TRUE, 0, 1)</f>
        <v>1</v>
      </c>
      <c r="AD34" s="2">
        <f>IF(OR(
ISERROR(FIND("  ",Calculate_Business_Metadata[[#This Row],[Business Attribute Name]], 1))=FALSE,
ISERROR(FIND("_",Calculate_Business_Metadata[[#This Row],[Business Attribute Name]], 1))=FALSE)=TRUE, 0, 1)</f>
        <v>1</v>
      </c>
      <c r="AE34" s="2">
        <f>IF(OR(
ISERROR(FIND("  ",Calculate_Business_Metadata[[#This Row],[Business Definition (EN)]], 1))=FALSE,
ISERROR(FIND("__",Calculate_Business_Metadata[[#This Row],[Business Definition (EN)]], 1))=FALSE)=TRUE, 0, 1)</f>
        <v>1</v>
      </c>
      <c r="AF34" s="2">
        <f>IF(OR(
ISERROR(FIND("  ",Calculate_Business_Metadata[[#This Row],[Column Name]], 1))=FALSE,
ISERROR(FIND("__",Calculate_Business_Metadata[[#This Row],[Column Name]], 1))=FALSE)=TRUE, 0, 1)</f>
        <v>1</v>
      </c>
      <c r="AG34" s="2">
        <f>IF(OR(
ISERROR(FIND("  ",Calculate_Business_Metadata[[#This Row],[Business Data Steward]], 1))=FALSE,
ISERROR(FIND("_",Calculate_Business_Metadata[[#This Row],[Business Data Steward]], 1))=FALSE)=TRUE, 0, 1)</f>
        <v>1</v>
      </c>
      <c r="AH34" s="2">
        <f>IF(OR(
ISERROR(FIND("  ",Calculate_Business_Metadata[[#This Row],[Data Owner]], 1))=FALSE,
ISERROR(FIND("_",Calculate_Business_Metadata[[#This Row],[Data Owner]], 1))=FALSE)=TRUE, 0, 1)</f>
        <v>1</v>
      </c>
      <c r="AI34" s="2">
        <f>IF(OR(
ISERROR(FIND("  ",Calculate_Business_Metadata[[#This Row],[Updated By]], 1))=FALSE,
ISERROR(FIND("_",Calculate_Business_Metadata[[#This Row],[Updated By]], 1))=FALSE)=TRUE, 0, 1)</f>
        <v>1</v>
      </c>
      <c r="AK34" s="2">
        <f>IF(OR(ISERROR(FIND("PII",Calculate_Business_Metadata[[#This Row],[PII/Non-PII]], 1))=FALSE, ISERROR(FIND("PII",Calculate_Business_Metadata[[#This Row],[PII/Non-PII]], 1))=FALSE)=TRUE, 1, 0)</f>
        <v>1</v>
      </c>
      <c r="AM34" s="2">
        <f>IF( COUNTIFS(B:B, Calculate_Business_Metadata[[#This Row],[Business Attribute Name]], D:D, Calculate_Business_Metadata[[#This Row],[Column Name]], L:L, Calculate_Business_Metadata[[#This Row],[Subdomain]]) &gt; 1, 0, 1)</f>
        <v>1</v>
      </c>
      <c r="AN34" s="2" t="str">
        <f>LEFT(Calculate_Business_Metadata[[#This Row],[Business Definition (EN)]], 150)</f>
        <v>Account number refers to the account number of investment.The account can be for any products. (e.g. deposit, loan, investment etc.).</v>
      </c>
      <c r="AO34" s="2">
        <f ca="1">IF( COUNTIFS(AO:AO,AN34, B:B, Calculate_Business_Metadata[[#This Row],[Business Attribute Name]],L:L, Calculate_Business_Metadata[[#This Row],[Subdomain]]) &lt;&gt; 1, 0, 1)</f>
        <v>0</v>
      </c>
      <c r="AP34" s="2">
        <f>IF(COUNTIFS(B:B, Calculate_Business_Metadata[[#This Row],[Business Attribute Name]], D:D, Calculate_Business_Metadata[[#This Row],[Column Name]], AN:AN, AN34) &gt;1, 0, 1)</f>
        <v>1</v>
      </c>
      <c r="AR34" s="2">
        <f>IF(COUNTIFS('Cal_Technical - Column'!D:D, Calculate_Business_Metadata[[#This Row],[Column Name]])&gt; 0, 1, 0)</f>
        <v>1</v>
      </c>
    </row>
    <row r="35" spans="1:44" ht="168" x14ac:dyDescent="0.3">
      <c r="A35" s="74">
        <v>34</v>
      </c>
      <c r="B35" s="74" t="s">
        <v>524</v>
      </c>
      <c r="C35" s="1" t="s">
        <v>525</v>
      </c>
      <c r="D35" s="74" t="s">
        <v>475</v>
      </c>
      <c r="E35" s="74" t="s">
        <v>43</v>
      </c>
      <c r="F35" s="2" t="s">
        <v>47</v>
      </c>
      <c r="G35" s="74" t="s">
        <v>526</v>
      </c>
      <c r="H35" s="74" t="s">
        <v>113</v>
      </c>
      <c r="I35" s="74" t="s">
        <v>114</v>
      </c>
      <c r="J35" s="70">
        <v>45372</v>
      </c>
      <c r="K35" s="74" t="s">
        <v>49</v>
      </c>
      <c r="L35" s="74" t="s">
        <v>519</v>
      </c>
      <c r="N35" s="2">
        <f>IF(ISBLANK(Calculate_Business_Metadata[[#This Row],[Business Attribute Name]])=TRUE, 0, 1)</f>
        <v>1</v>
      </c>
      <c r="O35" s="2">
        <f>IF(ISBLANK(Calculate_Business_Metadata[[#This Row],[Business Definition (EN)]])=TRUE, 0, 1)</f>
        <v>1</v>
      </c>
      <c r="P35" s="2">
        <f>IF(ISBLANK(Calculate_Business_Metadata[[#This Row],[Column Name]])=TRUE, 0, 1)</f>
        <v>1</v>
      </c>
      <c r="Q35" s="2">
        <f>IF(ISBLANK(Calculate_Business_Metadata[[#This Row],[PII/Non-PII]])=TRUE, 0, 1)</f>
        <v>1</v>
      </c>
      <c r="R35" s="2" t="b">
        <f>ISERROR(FIND("-", Calculate_Business_Metadata[[#This Row],[List of Allowable Values]]))</f>
        <v>0</v>
      </c>
      <c r="S35" s="2" t="b">
        <f>ISERROR(FIND("Flag",Calculate_Business_Metadata[[#This Row],[List of Allowable Values]], 1))</f>
        <v>1</v>
      </c>
      <c r="T35" s="2" t="b">
        <f>ISERROR(FIND("In this case, the list of allowable values can be contact",Calculate_Business_Metadata[[#This Row],[List of Allowable Values]], 1))</f>
        <v>1</v>
      </c>
      <c r="U35" s="2" t="b">
        <f>ISERROR(FIND("In this case, the list of allowable values can be found",Calculate_Business_Metadata[[#This Row],[List of Allowable Values]], 1))</f>
        <v>1</v>
      </c>
      <c r="V35" s="2" t="b">
        <f>ISERROR(FIND("list of allowable values",Calculate_Business_Metadata[[#This Row],[List of Allowable Values]], 1))</f>
        <v>1</v>
      </c>
      <c r="W35" s="2">
        <f t="shared" si="1"/>
        <v>1</v>
      </c>
      <c r="X35" s="2">
        <f>IF(ISBLANK(Calculate_Business_Metadata[[#This Row],[Sample Data]])=TRUE, 0, 1)</f>
        <v>1</v>
      </c>
      <c r="Y35" s="2">
        <f>IF(ISBLANK(Calculate_Business_Metadata[[#This Row],[Business Data Steward]])=TRUE, 0, 1)</f>
        <v>1</v>
      </c>
      <c r="Z35" s="2">
        <f>IF(ISBLANK(Calculate_Business_Metadata[[#This Row],[Data Owner]])=TRUE, 0, 1)</f>
        <v>1</v>
      </c>
      <c r="AA35" s="2">
        <f>IF(ISBLANK(Calculate_Business_Metadata[[#This Row],[Updated Date]])=TRUE, 0, 1)</f>
        <v>1</v>
      </c>
      <c r="AB35" s="2">
        <f>IF(ISBLANK(Calculate_Business_Metadata[[#This Row],[Updated By]])=TRUE, 0, 1)</f>
        <v>1</v>
      </c>
      <c r="AD35" s="2">
        <f>IF(OR(
ISERROR(FIND("  ",Calculate_Business_Metadata[[#This Row],[Business Attribute Name]], 1))=FALSE,
ISERROR(FIND("_",Calculate_Business_Metadata[[#This Row],[Business Attribute Name]], 1))=FALSE)=TRUE, 0, 1)</f>
        <v>1</v>
      </c>
      <c r="AE35" s="2">
        <f>IF(OR(
ISERROR(FIND("  ",Calculate_Business_Metadata[[#This Row],[Business Definition (EN)]], 1))=FALSE,
ISERROR(FIND("__",Calculate_Business_Metadata[[#This Row],[Business Definition (EN)]], 1))=FALSE)=TRUE, 0, 1)</f>
        <v>1</v>
      </c>
      <c r="AF35" s="2">
        <f>IF(OR(
ISERROR(FIND("  ",Calculate_Business_Metadata[[#This Row],[Column Name]], 1))=FALSE,
ISERROR(FIND("__",Calculate_Business_Metadata[[#This Row],[Column Name]], 1))=FALSE)=TRUE, 0, 1)</f>
        <v>1</v>
      </c>
      <c r="AG35" s="2">
        <f>IF(OR(
ISERROR(FIND("  ",Calculate_Business_Metadata[[#This Row],[Business Data Steward]], 1))=FALSE,
ISERROR(FIND("_",Calculate_Business_Metadata[[#This Row],[Business Data Steward]], 1))=FALSE)=TRUE, 0, 1)</f>
        <v>1</v>
      </c>
      <c r="AH35" s="2">
        <f>IF(OR(
ISERROR(FIND("  ",Calculate_Business_Metadata[[#This Row],[Data Owner]], 1))=FALSE,
ISERROR(FIND("_",Calculate_Business_Metadata[[#This Row],[Data Owner]], 1))=FALSE)=TRUE, 0, 1)</f>
        <v>1</v>
      </c>
      <c r="AI35" s="2">
        <f>IF(OR(
ISERROR(FIND("  ",Calculate_Business_Metadata[[#This Row],[Updated By]], 1))=FALSE,
ISERROR(FIND("_",Calculate_Business_Metadata[[#This Row],[Updated By]], 1))=FALSE)=TRUE, 0, 1)</f>
        <v>1</v>
      </c>
      <c r="AK35" s="2">
        <f>IF(OR(ISERROR(FIND("PII",Calculate_Business_Metadata[[#This Row],[PII/Non-PII]], 1))=FALSE, ISERROR(FIND("PII",Calculate_Business_Metadata[[#This Row],[PII/Non-PII]], 1))=FALSE)=TRUE, 1, 0)</f>
        <v>1</v>
      </c>
      <c r="AM35" s="2">
        <f>IF( COUNTIFS(B:B, Calculate_Business_Metadata[[#This Row],[Business Attribute Name]], D:D, Calculate_Business_Metadata[[#This Row],[Column Name]], L:L, Calculate_Business_Metadata[[#This Row],[Subdomain]]) &gt; 1, 0, 1)</f>
        <v>1</v>
      </c>
      <c r="AN35" s="2" t="str">
        <f>LEFT(Calculate_Business_Metadata[[#This Row],[Business Definition (EN)]], 150)</f>
        <v>Investment Account Open Date represents the date the customer's investment account is opened and registered into the system.
Note:
The format is repre</v>
      </c>
      <c r="AO35" s="2">
        <f ca="1">IF( COUNTIFS(AO:AO,AN35, B:B, Calculate_Business_Metadata[[#This Row],[Business Attribute Name]],L:L, Calculate_Business_Metadata[[#This Row],[Subdomain]]) &lt;&gt; 1, 0, 1)</f>
        <v>0</v>
      </c>
      <c r="AP35" s="2">
        <f>IF(COUNTIFS(B:B, Calculate_Business_Metadata[[#This Row],[Business Attribute Name]], D:D, Calculate_Business_Metadata[[#This Row],[Column Name]], AN:AN, AN35) &gt;1, 0, 1)</f>
        <v>1</v>
      </c>
      <c r="AR35" s="2">
        <f>IF(COUNTIFS('Cal_Technical - Column'!D:D, Calculate_Business_Metadata[[#This Row],[Column Name]])&gt; 0, 1, 0)</f>
        <v>1</v>
      </c>
    </row>
    <row r="36" spans="1:44" ht="308" x14ac:dyDescent="0.3">
      <c r="A36" s="74">
        <v>35</v>
      </c>
      <c r="B36" s="74" t="s">
        <v>527</v>
      </c>
      <c r="C36" s="1" t="s">
        <v>528</v>
      </c>
      <c r="D36" s="74" t="s">
        <v>476</v>
      </c>
      <c r="E36" s="74" t="s">
        <v>43</v>
      </c>
      <c r="F36" s="2" t="s">
        <v>47</v>
      </c>
      <c r="G36" s="74" t="s">
        <v>529</v>
      </c>
      <c r="H36" s="74" t="s">
        <v>113</v>
      </c>
      <c r="I36" s="74" t="s">
        <v>114</v>
      </c>
      <c r="J36" s="70">
        <v>45372</v>
      </c>
      <c r="K36" s="74" t="s">
        <v>49</v>
      </c>
      <c r="L36" s="74" t="s">
        <v>519</v>
      </c>
      <c r="N36" s="2">
        <f>IF(ISBLANK(Calculate_Business_Metadata[[#This Row],[Business Attribute Name]])=TRUE, 0, 1)</f>
        <v>1</v>
      </c>
      <c r="O36" s="2">
        <f>IF(ISBLANK(Calculate_Business_Metadata[[#This Row],[Business Definition (EN)]])=TRUE, 0, 1)</f>
        <v>1</v>
      </c>
      <c r="P36" s="2">
        <f>IF(ISBLANK(Calculate_Business_Metadata[[#This Row],[Column Name]])=TRUE, 0, 1)</f>
        <v>1</v>
      </c>
      <c r="Q36" s="2">
        <f>IF(ISBLANK(Calculate_Business_Metadata[[#This Row],[PII/Non-PII]])=TRUE, 0, 1)</f>
        <v>1</v>
      </c>
      <c r="R36" s="2" t="b">
        <f>ISERROR(FIND("-", Calculate_Business_Metadata[[#This Row],[List of Allowable Values]]))</f>
        <v>0</v>
      </c>
      <c r="S36" s="2" t="b">
        <f>ISERROR(FIND("Flag",Calculate_Business_Metadata[[#This Row],[List of Allowable Values]], 1))</f>
        <v>1</v>
      </c>
      <c r="T36" s="2" t="b">
        <f>ISERROR(FIND("In this case, the list of allowable values can be contact",Calculate_Business_Metadata[[#This Row],[List of Allowable Values]], 1))</f>
        <v>1</v>
      </c>
      <c r="U36" s="2" t="b">
        <f>ISERROR(FIND("In this case, the list of allowable values can be found",Calculate_Business_Metadata[[#This Row],[List of Allowable Values]], 1))</f>
        <v>1</v>
      </c>
      <c r="V36" s="2" t="b">
        <f>ISERROR(FIND("list of allowable values",Calculate_Business_Metadata[[#This Row],[List of Allowable Values]], 1))</f>
        <v>1</v>
      </c>
      <c r="W36" s="2">
        <f t="shared" si="1"/>
        <v>1</v>
      </c>
      <c r="X36" s="2">
        <f>IF(ISBLANK(Calculate_Business_Metadata[[#This Row],[Sample Data]])=TRUE, 0, 1)</f>
        <v>1</v>
      </c>
      <c r="Y36" s="2">
        <f>IF(ISBLANK(Calculate_Business_Metadata[[#This Row],[Business Data Steward]])=TRUE, 0, 1)</f>
        <v>1</v>
      </c>
      <c r="Z36" s="2">
        <f>IF(ISBLANK(Calculate_Business_Metadata[[#This Row],[Data Owner]])=TRUE, 0, 1)</f>
        <v>1</v>
      </c>
      <c r="AA36" s="2">
        <f>IF(ISBLANK(Calculate_Business_Metadata[[#This Row],[Updated Date]])=TRUE, 0, 1)</f>
        <v>1</v>
      </c>
      <c r="AB36" s="2">
        <f>IF(ISBLANK(Calculate_Business_Metadata[[#This Row],[Updated By]])=TRUE, 0, 1)</f>
        <v>1</v>
      </c>
      <c r="AD36" s="2">
        <f>IF(OR(
ISERROR(FIND("  ",Calculate_Business_Metadata[[#This Row],[Business Attribute Name]], 1))=FALSE,
ISERROR(FIND("_",Calculate_Business_Metadata[[#This Row],[Business Attribute Name]], 1))=FALSE)=TRUE, 0, 1)</f>
        <v>1</v>
      </c>
      <c r="AE36" s="2">
        <f>IF(OR(
ISERROR(FIND("  ",Calculate_Business_Metadata[[#This Row],[Business Definition (EN)]], 1))=FALSE,
ISERROR(FIND("__",Calculate_Business_Metadata[[#This Row],[Business Definition (EN)]], 1))=FALSE)=TRUE, 0, 1)</f>
        <v>1</v>
      </c>
      <c r="AF36" s="2">
        <f>IF(OR(
ISERROR(FIND("  ",Calculate_Business_Metadata[[#This Row],[Column Name]], 1))=FALSE,
ISERROR(FIND("__",Calculate_Business_Metadata[[#This Row],[Column Name]], 1))=FALSE)=TRUE, 0, 1)</f>
        <v>1</v>
      </c>
      <c r="AG36" s="2">
        <f>IF(OR(
ISERROR(FIND("  ",Calculate_Business_Metadata[[#This Row],[Business Data Steward]], 1))=FALSE,
ISERROR(FIND("_",Calculate_Business_Metadata[[#This Row],[Business Data Steward]], 1))=FALSE)=TRUE, 0, 1)</f>
        <v>1</v>
      </c>
      <c r="AH36" s="2">
        <f>IF(OR(
ISERROR(FIND("  ",Calculate_Business_Metadata[[#This Row],[Data Owner]], 1))=FALSE,
ISERROR(FIND("_",Calculate_Business_Metadata[[#This Row],[Data Owner]], 1))=FALSE)=TRUE, 0, 1)</f>
        <v>1</v>
      </c>
      <c r="AI36" s="2">
        <f>IF(OR(
ISERROR(FIND("  ",Calculate_Business_Metadata[[#This Row],[Updated By]], 1))=FALSE,
ISERROR(FIND("_",Calculate_Business_Metadata[[#This Row],[Updated By]], 1))=FALSE)=TRUE, 0, 1)</f>
        <v>1</v>
      </c>
      <c r="AK36" s="2">
        <f>IF(OR(ISERROR(FIND("PII",Calculate_Business_Metadata[[#This Row],[PII/Non-PII]], 1))=FALSE, ISERROR(FIND("PII",Calculate_Business_Metadata[[#This Row],[PII/Non-PII]], 1))=FALSE)=TRUE, 1, 0)</f>
        <v>1</v>
      </c>
      <c r="AM36" s="2">
        <f>IF( COUNTIFS(B:B, Calculate_Business_Metadata[[#This Row],[Business Attribute Name]], D:D, Calculate_Business_Metadata[[#This Row],[Column Name]], L:L, Calculate_Business_Metadata[[#This Row],[Subdomain]]) &gt; 1, 0, 1)</f>
        <v>1</v>
      </c>
      <c r="AN36" s="2" t="str">
        <f>LEFT(Calculate_Business_Metadata[[#This Row],[Business Definition (EN)]], 150)</f>
        <v>A date when the customer's account status is set to 'Closed' by the system. In the case of delay in the process of closing the account or a target clo</v>
      </c>
      <c r="AO36" s="2">
        <f ca="1">IF( COUNTIFS(AO:AO,AN36, B:B, Calculate_Business_Metadata[[#This Row],[Business Attribute Name]],L:L, Calculate_Business_Metadata[[#This Row],[Subdomain]]) &lt;&gt; 1, 0, 1)</f>
        <v>0</v>
      </c>
      <c r="AP36" s="2">
        <f>IF(COUNTIFS(B:B, Calculate_Business_Metadata[[#This Row],[Business Attribute Name]], D:D, Calculate_Business_Metadata[[#This Row],[Column Name]], AN:AN, AN36) &gt;1, 0, 1)</f>
        <v>1</v>
      </c>
      <c r="AR36" s="2">
        <f>IF(COUNTIFS('Cal_Technical - Column'!D:D, Calculate_Business_Metadata[[#This Row],[Column Name]])&gt; 0, 1, 0)</f>
        <v>1</v>
      </c>
    </row>
    <row r="37" spans="1:44" ht="42" x14ac:dyDescent="0.3">
      <c r="A37" s="74">
        <v>36</v>
      </c>
      <c r="B37" s="74" t="s">
        <v>530</v>
      </c>
      <c r="C37" s="1" t="s">
        <v>531</v>
      </c>
      <c r="D37" s="74" t="s">
        <v>477</v>
      </c>
      <c r="E37" s="74" t="s">
        <v>43</v>
      </c>
      <c r="F37" s="2" t="s">
        <v>47</v>
      </c>
      <c r="G37" s="74" t="s">
        <v>532</v>
      </c>
      <c r="H37" s="74" t="s">
        <v>113</v>
      </c>
      <c r="I37" s="74" t="s">
        <v>114</v>
      </c>
      <c r="J37" s="70">
        <v>45372</v>
      </c>
      <c r="K37" s="74" t="s">
        <v>49</v>
      </c>
      <c r="L37" s="74" t="s">
        <v>519</v>
      </c>
      <c r="N37" s="2">
        <f>IF(ISBLANK(Calculate_Business_Metadata[[#This Row],[Business Attribute Name]])=TRUE, 0, 1)</f>
        <v>1</v>
      </c>
      <c r="O37" s="2">
        <f>IF(ISBLANK(Calculate_Business_Metadata[[#This Row],[Business Definition (EN)]])=TRUE, 0, 1)</f>
        <v>1</v>
      </c>
      <c r="P37" s="2">
        <f>IF(ISBLANK(Calculate_Business_Metadata[[#This Row],[Column Name]])=TRUE, 0, 1)</f>
        <v>1</v>
      </c>
      <c r="Q37" s="2">
        <f>IF(ISBLANK(Calculate_Business_Metadata[[#This Row],[PII/Non-PII]])=TRUE, 0, 1)</f>
        <v>1</v>
      </c>
      <c r="R37" s="2" t="b">
        <f>ISERROR(FIND("-", Calculate_Business_Metadata[[#This Row],[List of Allowable Values]]))</f>
        <v>0</v>
      </c>
      <c r="S37" s="2" t="b">
        <f>ISERROR(FIND("Flag",Calculate_Business_Metadata[[#This Row],[List of Allowable Values]], 1))</f>
        <v>1</v>
      </c>
      <c r="T37" s="2" t="b">
        <f>ISERROR(FIND("In this case, the list of allowable values can be contact",Calculate_Business_Metadata[[#This Row],[List of Allowable Values]], 1))</f>
        <v>1</v>
      </c>
      <c r="U37" s="2" t="b">
        <f>ISERROR(FIND("In this case, the list of allowable values can be found",Calculate_Business_Metadata[[#This Row],[List of Allowable Values]], 1))</f>
        <v>1</v>
      </c>
      <c r="V37" s="2" t="b">
        <f>ISERROR(FIND("list of allowable values",Calculate_Business_Metadata[[#This Row],[List of Allowable Values]], 1))</f>
        <v>1</v>
      </c>
      <c r="W37" s="2">
        <f t="shared" si="1"/>
        <v>1</v>
      </c>
      <c r="X37" s="2">
        <f>IF(ISBLANK(Calculate_Business_Metadata[[#This Row],[Sample Data]])=TRUE, 0, 1)</f>
        <v>1</v>
      </c>
      <c r="Y37" s="2">
        <f>IF(ISBLANK(Calculate_Business_Metadata[[#This Row],[Business Data Steward]])=TRUE, 0, 1)</f>
        <v>1</v>
      </c>
      <c r="Z37" s="2">
        <f>IF(ISBLANK(Calculate_Business_Metadata[[#This Row],[Data Owner]])=TRUE, 0, 1)</f>
        <v>1</v>
      </c>
      <c r="AA37" s="2">
        <f>IF(ISBLANK(Calculate_Business_Metadata[[#This Row],[Updated Date]])=TRUE, 0, 1)</f>
        <v>1</v>
      </c>
      <c r="AB37" s="2">
        <f>IF(ISBLANK(Calculate_Business_Metadata[[#This Row],[Updated By]])=TRUE, 0, 1)</f>
        <v>1</v>
      </c>
      <c r="AD37" s="2">
        <f>IF(OR(
ISERROR(FIND("  ",Calculate_Business_Metadata[[#This Row],[Business Attribute Name]], 1))=FALSE,
ISERROR(FIND("_",Calculate_Business_Metadata[[#This Row],[Business Attribute Name]], 1))=FALSE)=TRUE, 0, 1)</f>
        <v>1</v>
      </c>
      <c r="AE37" s="2">
        <f>IF(OR(
ISERROR(FIND("  ",Calculate_Business_Metadata[[#This Row],[Business Definition (EN)]], 1))=FALSE,
ISERROR(FIND("__",Calculate_Business_Metadata[[#This Row],[Business Definition (EN)]], 1))=FALSE)=TRUE, 0, 1)</f>
        <v>1</v>
      </c>
      <c r="AF37" s="2">
        <f>IF(OR(
ISERROR(FIND("  ",Calculate_Business_Metadata[[#This Row],[Column Name]], 1))=FALSE,
ISERROR(FIND("__",Calculate_Business_Metadata[[#This Row],[Column Name]], 1))=FALSE)=TRUE, 0, 1)</f>
        <v>1</v>
      </c>
      <c r="AG37" s="2">
        <f>IF(OR(
ISERROR(FIND("  ",Calculate_Business_Metadata[[#This Row],[Business Data Steward]], 1))=FALSE,
ISERROR(FIND("_",Calculate_Business_Metadata[[#This Row],[Business Data Steward]], 1))=FALSE)=TRUE, 0, 1)</f>
        <v>1</v>
      </c>
      <c r="AH37" s="2">
        <f>IF(OR(
ISERROR(FIND("  ",Calculate_Business_Metadata[[#This Row],[Data Owner]], 1))=FALSE,
ISERROR(FIND("_",Calculate_Business_Metadata[[#This Row],[Data Owner]], 1))=FALSE)=TRUE, 0, 1)</f>
        <v>1</v>
      </c>
      <c r="AI37" s="2">
        <f>IF(OR(
ISERROR(FIND("  ",Calculate_Business_Metadata[[#This Row],[Updated By]], 1))=FALSE,
ISERROR(FIND("_",Calculate_Business_Metadata[[#This Row],[Updated By]], 1))=FALSE)=TRUE, 0, 1)</f>
        <v>1</v>
      </c>
      <c r="AK37" s="2">
        <f>IF(OR(ISERROR(FIND("PII",Calculate_Business_Metadata[[#This Row],[PII/Non-PII]], 1))=FALSE, ISERROR(FIND("PII",Calculate_Business_Metadata[[#This Row],[PII/Non-PII]], 1))=FALSE)=TRUE, 1, 0)</f>
        <v>1</v>
      </c>
      <c r="AM37" s="2">
        <f>IF( COUNTIFS(B:B, Calculate_Business_Metadata[[#This Row],[Business Attribute Name]], D:D, Calculate_Business_Metadata[[#This Row],[Column Name]], L:L, Calculate_Business_Metadata[[#This Row],[Subdomain]]) &gt; 1, 0, 1)</f>
        <v>1</v>
      </c>
      <c r="AN37" s="2" t="str">
        <f>LEFT(Calculate_Business_Metadata[[#This Row],[Business Definition (EN)]], 150)</f>
        <v>Code numberic refers to the account of Equity product.</v>
      </c>
      <c r="AO37" s="2">
        <f ca="1">IF( COUNTIFS(AO:AO,AN37, B:B, Calculate_Business_Metadata[[#This Row],[Business Attribute Name]],L:L, Calculate_Business_Metadata[[#This Row],[Subdomain]]) &lt;&gt; 1, 0, 1)</f>
        <v>0</v>
      </c>
      <c r="AP37" s="2">
        <f>IF(COUNTIFS(B:B, Calculate_Business_Metadata[[#This Row],[Business Attribute Name]], D:D, Calculate_Business_Metadata[[#This Row],[Column Name]], AN:AN, AN37) &gt;1, 0, 1)</f>
        <v>1</v>
      </c>
      <c r="AR37" s="2">
        <f>IF(COUNTIFS('Cal_Technical - Column'!D:D, Calculate_Business_Metadata[[#This Row],[Column Name]])&gt; 0, 1, 0)</f>
        <v>1</v>
      </c>
    </row>
    <row r="38" spans="1:44" ht="42" x14ac:dyDescent="0.3">
      <c r="A38" s="74">
        <v>37</v>
      </c>
      <c r="B38" s="74" t="s">
        <v>533</v>
      </c>
      <c r="C38" s="1" t="s">
        <v>534</v>
      </c>
      <c r="D38" s="74" t="s">
        <v>478</v>
      </c>
      <c r="E38" s="74" t="s">
        <v>43</v>
      </c>
      <c r="F38" s="2" t="s">
        <v>47</v>
      </c>
      <c r="G38" s="74" t="s">
        <v>532</v>
      </c>
      <c r="H38" s="74" t="s">
        <v>113</v>
      </c>
      <c r="I38" s="74" t="s">
        <v>114</v>
      </c>
      <c r="J38" s="70">
        <v>45372</v>
      </c>
      <c r="K38" s="74" t="s">
        <v>49</v>
      </c>
      <c r="L38" s="74" t="s">
        <v>519</v>
      </c>
      <c r="N38" s="2">
        <f>IF(ISBLANK(Calculate_Business_Metadata[[#This Row],[Business Attribute Name]])=TRUE, 0, 1)</f>
        <v>1</v>
      </c>
      <c r="O38" s="2">
        <f>IF(ISBLANK(Calculate_Business_Metadata[[#This Row],[Business Definition (EN)]])=TRUE, 0, 1)</f>
        <v>1</v>
      </c>
      <c r="P38" s="2">
        <f>IF(ISBLANK(Calculate_Business_Metadata[[#This Row],[Column Name]])=TRUE, 0, 1)</f>
        <v>1</v>
      </c>
      <c r="Q38" s="2">
        <f>IF(ISBLANK(Calculate_Business_Metadata[[#This Row],[PII/Non-PII]])=TRUE, 0, 1)</f>
        <v>1</v>
      </c>
      <c r="R38" s="2" t="b">
        <f>ISERROR(FIND("-", Calculate_Business_Metadata[[#This Row],[List of Allowable Values]]))</f>
        <v>0</v>
      </c>
      <c r="S38" s="2" t="b">
        <f>ISERROR(FIND("Flag",Calculate_Business_Metadata[[#This Row],[List of Allowable Values]], 1))</f>
        <v>1</v>
      </c>
      <c r="T38" s="2" t="b">
        <f>ISERROR(FIND("In this case, the list of allowable values can be contact",Calculate_Business_Metadata[[#This Row],[List of Allowable Values]], 1))</f>
        <v>1</v>
      </c>
      <c r="U38" s="2" t="b">
        <f>ISERROR(FIND("In this case, the list of allowable values can be found",Calculate_Business_Metadata[[#This Row],[List of Allowable Values]], 1))</f>
        <v>1</v>
      </c>
      <c r="V38" s="2" t="b">
        <f>ISERROR(FIND("list of allowable values",Calculate_Business_Metadata[[#This Row],[List of Allowable Values]], 1))</f>
        <v>1</v>
      </c>
      <c r="W38" s="2">
        <f t="shared" si="1"/>
        <v>1</v>
      </c>
      <c r="X38" s="2">
        <f>IF(ISBLANK(Calculate_Business_Metadata[[#This Row],[Sample Data]])=TRUE, 0, 1)</f>
        <v>1</v>
      </c>
      <c r="Y38" s="2">
        <f>IF(ISBLANK(Calculate_Business_Metadata[[#This Row],[Business Data Steward]])=TRUE, 0, 1)</f>
        <v>1</v>
      </c>
      <c r="Z38" s="2">
        <f>IF(ISBLANK(Calculate_Business_Metadata[[#This Row],[Data Owner]])=TRUE, 0, 1)</f>
        <v>1</v>
      </c>
      <c r="AA38" s="2">
        <f>IF(ISBLANK(Calculate_Business_Metadata[[#This Row],[Updated Date]])=TRUE, 0, 1)</f>
        <v>1</v>
      </c>
      <c r="AB38" s="2">
        <f>IF(ISBLANK(Calculate_Business_Metadata[[#This Row],[Updated By]])=TRUE, 0, 1)</f>
        <v>1</v>
      </c>
      <c r="AD38" s="2">
        <f>IF(OR(
ISERROR(FIND("  ",Calculate_Business_Metadata[[#This Row],[Business Attribute Name]], 1))=FALSE,
ISERROR(FIND("_",Calculate_Business_Metadata[[#This Row],[Business Attribute Name]], 1))=FALSE)=TRUE, 0, 1)</f>
        <v>1</v>
      </c>
      <c r="AE38" s="2">
        <f>IF(OR(
ISERROR(FIND("  ",Calculate_Business_Metadata[[#This Row],[Business Definition (EN)]], 1))=FALSE,
ISERROR(FIND("__",Calculate_Business_Metadata[[#This Row],[Business Definition (EN)]], 1))=FALSE)=TRUE, 0, 1)</f>
        <v>1</v>
      </c>
      <c r="AF38" s="2">
        <f>IF(OR(
ISERROR(FIND("  ",Calculate_Business_Metadata[[#This Row],[Column Name]], 1))=FALSE,
ISERROR(FIND("__",Calculate_Business_Metadata[[#This Row],[Column Name]], 1))=FALSE)=TRUE, 0, 1)</f>
        <v>1</v>
      </c>
      <c r="AG38" s="2">
        <f>IF(OR(
ISERROR(FIND("  ",Calculate_Business_Metadata[[#This Row],[Business Data Steward]], 1))=FALSE,
ISERROR(FIND("_",Calculate_Business_Metadata[[#This Row],[Business Data Steward]], 1))=FALSE)=TRUE, 0, 1)</f>
        <v>1</v>
      </c>
      <c r="AH38" s="2">
        <f>IF(OR(
ISERROR(FIND("  ",Calculate_Business_Metadata[[#This Row],[Data Owner]], 1))=FALSE,
ISERROR(FIND("_",Calculate_Business_Metadata[[#This Row],[Data Owner]], 1))=FALSE)=TRUE, 0, 1)</f>
        <v>1</v>
      </c>
      <c r="AI38" s="2">
        <f>IF(OR(
ISERROR(FIND("  ",Calculate_Business_Metadata[[#This Row],[Updated By]], 1))=FALSE,
ISERROR(FIND("_",Calculate_Business_Metadata[[#This Row],[Updated By]], 1))=FALSE)=TRUE, 0, 1)</f>
        <v>1</v>
      </c>
      <c r="AK38" s="2">
        <f>IF(OR(ISERROR(FIND("PII",Calculate_Business_Metadata[[#This Row],[PII/Non-PII]], 1))=FALSE, ISERROR(FIND("PII",Calculate_Business_Metadata[[#This Row],[PII/Non-PII]], 1))=FALSE)=TRUE, 1, 0)</f>
        <v>1</v>
      </c>
      <c r="AM38" s="2">
        <f>IF( COUNTIFS(B:B, Calculate_Business_Metadata[[#This Row],[Business Attribute Name]], D:D, Calculate_Business_Metadata[[#This Row],[Column Name]], L:L, Calculate_Business_Metadata[[#This Row],[Subdomain]]) &gt; 1, 0, 1)</f>
        <v>1</v>
      </c>
      <c r="AN38" s="2" t="str">
        <f>LEFT(Calculate_Business_Metadata[[#This Row],[Business Definition (EN)]], 150)</f>
        <v>Code numberic refers to the account of Fund product.</v>
      </c>
      <c r="AO38" s="2">
        <f ca="1">IF( COUNTIFS(AO:AO,AN38, B:B, Calculate_Business_Metadata[[#This Row],[Business Attribute Name]],L:L, Calculate_Business_Metadata[[#This Row],[Subdomain]]) &lt;&gt; 1, 0, 1)</f>
        <v>0</v>
      </c>
      <c r="AP38" s="2">
        <f>IF(COUNTIFS(B:B, Calculate_Business_Metadata[[#This Row],[Business Attribute Name]], D:D, Calculate_Business_Metadata[[#This Row],[Column Name]], AN:AN, AN38) &gt;1, 0, 1)</f>
        <v>1</v>
      </c>
      <c r="AR38" s="2">
        <f>IF(COUNTIFS('Cal_Technical - Column'!D:D, Calculate_Business_Metadata[[#This Row],[Column Name]])&gt; 0, 1, 0)</f>
        <v>1</v>
      </c>
    </row>
    <row r="39" spans="1:44" ht="42" x14ac:dyDescent="0.3">
      <c r="A39" s="74">
        <v>38</v>
      </c>
      <c r="B39" s="74" t="s">
        <v>535</v>
      </c>
      <c r="C39" s="1" t="s">
        <v>536</v>
      </c>
      <c r="D39" s="74" t="s">
        <v>479</v>
      </c>
      <c r="E39" s="74" t="s">
        <v>43</v>
      </c>
      <c r="F39" s="2" t="s">
        <v>47</v>
      </c>
      <c r="G39" s="74" t="s">
        <v>532</v>
      </c>
      <c r="H39" s="74" t="s">
        <v>113</v>
      </c>
      <c r="I39" s="74" t="s">
        <v>114</v>
      </c>
      <c r="J39" s="70">
        <v>45372</v>
      </c>
      <c r="K39" s="74" t="s">
        <v>49</v>
      </c>
      <c r="L39" s="74" t="s">
        <v>519</v>
      </c>
      <c r="N39" s="2">
        <f>IF(ISBLANK(Calculate_Business_Metadata[[#This Row],[Business Attribute Name]])=TRUE, 0, 1)</f>
        <v>1</v>
      </c>
      <c r="O39" s="2">
        <f>IF(ISBLANK(Calculate_Business_Metadata[[#This Row],[Business Definition (EN)]])=TRUE, 0, 1)</f>
        <v>1</v>
      </c>
      <c r="P39" s="2">
        <f>IF(ISBLANK(Calculate_Business_Metadata[[#This Row],[Column Name]])=TRUE, 0, 1)</f>
        <v>1</v>
      </c>
      <c r="Q39" s="2">
        <f>IF(ISBLANK(Calculate_Business_Metadata[[#This Row],[PII/Non-PII]])=TRUE, 0, 1)</f>
        <v>1</v>
      </c>
      <c r="R39" s="2" t="b">
        <f>ISERROR(FIND("-", Calculate_Business_Metadata[[#This Row],[List of Allowable Values]]))</f>
        <v>0</v>
      </c>
      <c r="S39" s="2" t="b">
        <f>ISERROR(FIND("Flag",Calculate_Business_Metadata[[#This Row],[List of Allowable Values]], 1))</f>
        <v>1</v>
      </c>
      <c r="T39" s="2" t="b">
        <f>ISERROR(FIND("In this case, the list of allowable values can be contact",Calculate_Business_Metadata[[#This Row],[List of Allowable Values]], 1))</f>
        <v>1</v>
      </c>
      <c r="U39" s="2" t="b">
        <f>ISERROR(FIND("In this case, the list of allowable values can be found",Calculate_Business_Metadata[[#This Row],[List of Allowable Values]], 1))</f>
        <v>1</v>
      </c>
      <c r="V39" s="2" t="b">
        <f>ISERROR(FIND("list of allowable values",Calculate_Business_Metadata[[#This Row],[List of Allowable Values]], 1))</f>
        <v>1</v>
      </c>
      <c r="W39" s="2">
        <f t="shared" si="1"/>
        <v>1</v>
      </c>
      <c r="X39" s="2">
        <f>IF(ISBLANK(Calculate_Business_Metadata[[#This Row],[Sample Data]])=TRUE, 0, 1)</f>
        <v>1</v>
      </c>
      <c r="Y39" s="2">
        <f>IF(ISBLANK(Calculate_Business_Metadata[[#This Row],[Business Data Steward]])=TRUE, 0, 1)</f>
        <v>1</v>
      </c>
      <c r="Z39" s="2">
        <f>IF(ISBLANK(Calculate_Business_Metadata[[#This Row],[Data Owner]])=TRUE, 0, 1)</f>
        <v>1</v>
      </c>
      <c r="AA39" s="2">
        <f>IF(ISBLANK(Calculate_Business_Metadata[[#This Row],[Updated Date]])=TRUE, 0, 1)</f>
        <v>1</v>
      </c>
      <c r="AB39" s="2">
        <f>IF(ISBLANK(Calculate_Business_Metadata[[#This Row],[Updated By]])=TRUE, 0, 1)</f>
        <v>1</v>
      </c>
      <c r="AD39" s="2">
        <f>IF(OR(
ISERROR(FIND("  ",Calculate_Business_Metadata[[#This Row],[Business Attribute Name]], 1))=FALSE,
ISERROR(FIND("_",Calculate_Business_Metadata[[#This Row],[Business Attribute Name]], 1))=FALSE)=TRUE, 0, 1)</f>
        <v>1</v>
      </c>
      <c r="AE39" s="2">
        <f>IF(OR(
ISERROR(FIND("  ",Calculate_Business_Metadata[[#This Row],[Business Definition (EN)]], 1))=FALSE,
ISERROR(FIND("__",Calculate_Business_Metadata[[#This Row],[Business Definition (EN)]], 1))=FALSE)=TRUE, 0, 1)</f>
        <v>1</v>
      </c>
      <c r="AF39" s="2">
        <f>IF(OR(
ISERROR(FIND("  ",Calculate_Business_Metadata[[#This Row],[Column Name]], 1))=FALSE,
ISERROR(FIND("__",Calculate_Business_Metadata[[#This Row],[Column Name]], 1))=FALSE)=TRUE, 0, 1)</f>
        <v>1</v>
      </c>
      <c r="AG39" s="2">
        <f>IF(OR(
ISERROR(FIND("  ",Calculate_Business_Metadata[[#This Row],[Business Data Steward]], 1))=FALSE,
ISERROR(FIND("_",Calculate_Business_Metadata[[#This Row],[Business Data Steward]], 1))=FALSE)=TRUE, 0, 1)</f>
        <v>1</v>
      </c>
      <c r="AH39" s="2">
        <f>IF(OR(
ISERROR(FIND("  ",Calculate_Business_Metadata[[#This Row],[Data Owner]], 1))=FALSE,
ISERROR(FIND("_",Calculate_Business_Metadata[[#This Row],[Data Owner]], 1))=FALSE)=TRUE, 0, 1)</f>
        <v>1</v>
      </c>
      <c r="AI39" s="2">
        <f>IF(OR(
ISERROR(FIND("  ",Calculate_Business_Metadata[[#This Row],[Updated By]], 1))=FALSE,
ISERROR(FIND("_",Calculate_Business_Metadata[[#This Row],[Updated By]], 1))=FALSE)=TRUE, 0, 1)</f>
        <v>1</v>
      </c>
      <c r="AK39" s="2">
        <f>IF(OR(ISERROR(FIND("PII",Calculate_Business_Metadata[[#This Row],[PII/Non-PII]], 1))=FALSE, ISERROR(FIND("PII",Calculate_Business_Metadata[[#This Row],[PII/Non-PII]], 1))=FALSE)=TRUE, 1, 0)</f>
        <v>1</v>
      </c>
      <c r="AM39" s="2">
        <f>IF( COUNTIFS(B:B, Calculate_Business_Metadata[[#This Row],[Business Attribute Name]], D:D, Calculate_Business_Metadata[[#This Row],[Column Name]], L:L, Calculate_Business_Metadata[[#This Row],[Subdomain]]) &gt; 1, 0, 1)</f>
        <v>1</v>
      </c>
      <c r="AN39" s="2" t="str">
        <f>LEFT(Calculate_Business_Metadata[[#This Row],[Business Definition (EN)]], 150)</f>
        <v>Code numberic refers to the account of Bond product.</v>
      </c>
      <c r="AO39" s="2">
        <f ca="1">IF( COUNTIFS(AO:AO,AN39, B:B, Calculate_Business_Metadata[[#This Row],[Business Attribute Name]],L:L, Calculate_Business_Metadata[[#This Row],[Subdomain]]) &lt;&gt; 1, 0, 1)</f>
        <v>0</v>
      </c>
      <c r="AP39" s="2">
        <f>IF(COUNTIFS(B:B, Calculate_Business_Metadata[[#This Row],[Business Attribute Name]], D:D, Calculate_Business_Metadata[[#This Row],[Column Name]], AN:AN, AN39) &gt;1, 0, 1)</f>
        <v>1</v>
      </c>
      <c r="AR39" s="2">
        <f>IF(COUNTIFS('Cal_Technical - Column'!D:D, Calculate_Business_Metadata[[#This Row],[Column Name]])&gt; 0, 1, 0)</f>
        <v>1</v>
      </c>
    </row>
    <row r="40" spans="1:44" ht="42" x14ac:dyDescent="0.3">
      <c r="A40" s="74">
        <v>39</v>
      </c>
      <c r="B40" s="74" t="s">
        <v>537</v>
      </c>
      <c r="C40" s="1" t="s">
        <v>538</v>
      </c>
      <c r="D40" s="74" t="s">
        <v>480</v>
      </c>
      <c r="E40" s="74" t="s">
        <v>43</v>
      </c>
      <c r="F40" s="2" t="s">
        <v>47</v>
      </c>
      <c r="G40" s="74" t="s">
        <v>532</v>
      </c>
      <c r="H40" s="74" t="s">
        <v>113</v>
      </c>
      <c r="I40" s="74" t="s">
        <v>114</v>
      </c>
      <c r="J40" s="70">
        <v>45372</v>
      </c>
      <c r="K40" s="74" t="s">
        <v>49</v>
      </c>
      <c r="L40" s="74" t="s">
        <v>519</v>
      </c>
      <c r="N40" s="2">
        <f>IF(ISBLANK(Calculate_Business_Metadata[[#This Row],[Business Attribute Name]])=TRUE, 0, 1)</f>
        <v>1</v>
      </c>
      <c r="O40" s="2">
        <f>IF(ISBLANK(Calculate_Business_Metadata[[#This Row],[Business Definition (EN)]])=TRUE, 0, 1)</f>
        <v>1</v>
      </c>
      <c r="P40" s="2">
        <f>IF(ISBLANK(Calculate_Business_Metadata[[#This Row],[Column Name]])=TRUE, 0, 1)</f>
        <v>1</v>
      </c>
      <c r="Q40" s="2">
        <f>IF(ISBLANK(Calculate_Business_Metadata[[#This Row],[PII/Non-PII]])=TRUE, 0, 1)</f>
        <v>1</v>
      </c>
      <c r="R40" s="2" t="b">
        <f>ISERROR(FIND("-", Calculate_Business_Metadata[[#This Row],[List of Allowable Values]]))</f>
        <v>0</v>
      </c>
      <c r="S40" s="2" t="b">
        <f>ISERROR(FIND("Flag",Calculate_Business_Metadata[[#This Row],[List of Allowable Values]], 1))</f>
        <v>1</v>
      </c>
      <c r="T40" s="2" t="b">
        <f>ISERROR(FIND("In this case, the list of allowable values can be contact",Calculate_Business_Metadata[[#This Row],[List of Allowable Values]], 1))</f>
        <v>1</v>
      </c>
      <c r="U40" s="2" t="b">
        <f>ISERROR(FIND("In this case, the list of allowable values can be found",Calculate_Business_Metadata[[#This Row],[List of Allowable Values]], 1))</f>
        <v>1</v>
      </c>
      <c r="V40" s="2" t="b">
        <f>ISERROR(FIND("list of allowable values",Calculate_Business_Metadata[[#This Row],[List of Allowable Values]], 1))</f>
        <v>1</v>
      </c>
      <c r="W40" s="2">
        <f t="shared" si="1"/>
        <v>1</v>
      </c>
      <c r="X40" s="2">
        <f>IF(ISBLANK(Calculate_Business_Metadata[[#This Row],[Sample Data]])=TRUE, 0, 1)</f>
        <v>1</v>
      </c>
      <c r="Y40" s="2">
        <f>IF(ISBLANK(Calculate_Business_Metadata[[#This Row],[Business Data Steward]])=TRUE, 0, 1)</f>
        <v>1</v>
      </c>
      <c r="Z40" s="2">
        <f>IF(ISBLANK(Calculate_Business_Metadata[[#This Row],[Data Owner]])=TRUE, 0, 1)</f>
        <v>1</v>
      </c>
      <c r="AA40" s="2">
        <f>IF(ISBLANK(Calculate_Business_Metadata[[#This Row],[Updated Date]])=TRUE, 0, 1)</f>
        <v>1</v>
      </c>
      <c r="AB40" s="2">
        <f>IF(ISBLANK(Calculate_Business_Metadata[[#This Row],[Updated By]])=TRUE, 0, 1)</f>
        <v>1</v>
      </c>
      <c r="AD40" s="2">
        <f>IF(OR(
ISERROR(FIND("  ",Calculate_Business_Metadata[[#This Row],[Business Attribute Name]], 1))=FALSE,
ISERROR(FIND("_",Calculate_Business_Metadata[[#This Row],[Business Attribute Name]], 1))=FALSE)=TRUE, 0, 1)</f>
        <v>1</v>
      </c>
      <c r="AE40" s="2">
        <f>IF(OR(
ISERROR(FIND("  ",Calculate_Business_Metadata[[#This Row],[Business Definition (EN)]], 1))=FALSE,
ISERROR(FIND("__",Calculate_Business_Metadata[[#This Row],[Business Definition (EN)]], 1))=FALSE)=TRUE, 0, 1)</f>
        <v>1</v>
      </c>
      <c r="AF40" s="2">
        <f>IF(OR(
ISERROR(FIND("  ",Calculate_Business_Metadata[[#This Row],[Column Name]], 1))=FALSE,
ISERROR(FIND("__",Calculate_Business_Metadata[[#This Row],[Column Name]], 1))=FALSE)=TRUE, 0, 1)</f>
        <v>1</v>
      </c>
      <c r="AG40" s="2">
        <f>IF(OR(
ISERROR(FIND("  ",Calculate_Business_Metadata[[#This Row],[Business Data Steward]], 1))=FALSE,
ISERROR(FIND("_",Calculate_Business_Metadata[[#This Row],[Business Data Steward]], 1))=FALSE)=TRUE, 0, 1)</f>
        <v>1</v>
      </c>
      <c r="AH40" s="2">
        <f>IF(OR(
ISERROR(FIND("  ",Calculate_Business_Metadata[[#This Row],[Data Owner]], 1))=FALSE,
ISERROR(FIND("_",Calculate_Business_Metadata[[#This Row],[Data Owner]], 1))=FALSE)=TRUE, 0, 1)</f>
        <v>1</v>
      </c>
      <c r="AI40" s="2">
        <f>IF(OR(
ISERROR(FIND("  ",Calculate_Business_Metadata[[#This Row],[Updated By]], 1))=FALSE,
ISERROR(FIND("_",Calculate_Business_Metadata[[#This Row],[Updated By]], 1))=FALSE)=TRUE, 0, 1)</f>
        <v>1</v>
      </c>
      <c r="AK40" s="2">
        <f>IF(OR(ISERROR(FIND("PII",Calculate_Business_Metadata[[#This Row],[PII/Non-PII]], 1))=FALSE, ISERROR(FIND("PII",Calculate_Business_Metadata[[#This Row],[PII/Non-PII]], 1))=FALSE)=TRUE, 1, 0)</f>
        <v>1</v>
      </c>
      <c r="AM40" s="2">
        <f>IF( COUNTIFS(B:B, Calculate_Business_Metadata[[#This Row],[Business Attribute Name]], D:D, Calculate_Business_Metadata[[#This Row],[Column Name]], L:L, Calculate_Business_Metadata[[#This Row],[Subdomain]]) &gt; 1, 0, 1)</f>
        <v>1</v>
      </c>
      <c r="AN40" s="2" t="str">
        <f>LEFT(Calculate_Business_Metadata[[#This Row],[Business Definition (EN)]], 150)</f>
        <v>Code numberic refers to the account of Offshore product.</v>
      </c>
      <c r="AO40" s="2">
        <f ca="1">IF( COUNTIFS(AO:AO,AN40, B:B, Calculate_Business_Metadata[[#This Row],[Business Attribute Name]],L:L, Calculate_Business_Metadata[[#This Row],[Subdomain]]) &lt;&gt; 1, 0, 1)</f>
        <v>0</v>
      </c>
      <c r="AP40" s="2">
        <f>IF(COUNTIFS(B:B, Calculate_Business_Metadata[[#This Row],[Business Attribute Name]], D:D, Calculate_Business_Metadata[[#This Row],[Column Name]], AN:AN, AN40) &gt;1, 0, 1)</f>
        <v>1</v>
      </c>
      <c r="AR40" s="2">
        <f>IF(COUNTIFS('Cal_Technical - Column'!D:D, Calculate_Business_Metadata[[#This Row],[Column Name]])&gt; 0, 1, 0)</f>
        <v>1</v>
      </c>
    </row>
    <row r="41" spans="1:44" ht="56" x14ac:dyDescent="0.3">
      <c r="A41" s="74">
        <v>40</v>
      </c>
      <c r="B41" s="74" t="s">
        <v>539</v>
      </c>
      <c r="C41" s="1" t="s">
        <v>540</v>
      </c>
      <c r="D41" s="74" t="s">
        <v>481</v>
      </c>
      <c r="E41" s="74" t="s">
        <v>43</v>
      </c>
      <c r="F41" s="2" t="s">
        <v>47</v>
      </c>
      <c r="G41" s="74" t="s">
        <v>532</v>
      </c>
      <c r="H41" s="74" t="s">
        <v>113</v>
      </c>
      <c r="I41" s="74" t="s">
        <v>114</v>
      </c>
      <c r="J41" s="70">
        <v>45372</v>
      </c>
      <c r="K41" s="74" t="s">
        <v>49</v>
      </c>
      <c r="L41" s="74" t="s">
        <v>519</v>
      </c>
      <c r="N41" s="2">
        <f>IF(ISBLANK(Calculate_Business_Metadata[[#This Row],[Business Attribute Name]])=TRUE, 0, 1)</f>
        <v>1</v>
      </c>
      <c r="O41" s="2">
        <f>IF(ISBLANK(Calculate_Business_Metadata[[#This Row],[Business Definition (EN)]])=TRUE, 0, 1)</f>
        <v>1</v>
      </c>
      <c r="P41" s="2">
        <f>IF(ISBLANK(Calculate_Business_Metadata[[#This Row],[Column Name]])=TRUE, 0, 1)</f>
        <v>1</v>
      </c>
      <c r="Q41" s="2">
        <f>IF(ISBLANK(Calculate_Business_Metadata[[#This Row],[PII/Non-PII]])=TRUE, 0, 1)</f>
        <v>1</v>
      </c>
      <c r="R41" s="2" t="b">
        <f>ISERROR(FIND("-", Calculate_Business_Metadata[[#This Row],[List of Allowable Values]]))</f>
        <v>0</v>
      </c>
      <c r="S41" s="2" t="b">
        <f>ISERROR(FIND("Flag",Calculate_Business_Metadata[[#This Row],[List of Allowable Values]], 1))</f>
        <v>1</v>
      </c>
      <c r="T41" s="2" t="b">
        <f>ISERROR(FIND("In this case, the list of allowable values can be contact",Calculate_Business_Metadata[[#This Row],[List of Allowable Values]], 1))</f>
        <v>1</v>
      </c>
      <c r="U41" s="2" t="b">
        <f>ISERROR(FIND("In this case, the list of allowable values can be found",Calculate_Business_Metadata[[#This Row],[List of Allowable Values]], 1))</f>
        <v>1</v>
      </c>
      <c r="V41" s="2" t="b">
        <f>ISERROR(FIND("list of allowable values",Calculate_Business_Metadata[[#This Row],[List of Allowable Values]], 1))</f>
        <v>1</v>
      </c>
      <c r="W41" s="2">
        <f t="shared" si="1"/>
        <v>1</v>
      </c>
      <c r="X41" s="2">
        <f>IF(ISBLANK(Calculate_Business_Metadata[[#This Row],[Sample Data]])=TRUE, 0, 1)</f>
        <v>1</v>
      </c>
      <c r="Y41" s="2">
        <f>IF(ISBLANK(Calculate_Business_Metadata[[#This Row],[Business Data Steward]])=TRUE, 0, 1)</f>
        <v>1</v>
      </c>
      <c r="Z41" s="2">
        <f>IF(ISBLANK(Calculate_Business_Metadata[[#This Row],[Data Owner]])=TRUE, 0, 1)</f>
        <v>1</v>
      </c>
      <c r="AA41" s="2">
        <f>IF(ISBLANK(Calculate_Business_Metadata[[#This Row],[Updated Date]])=TRUE, 0, 1)</f>
        <v>1</v>
      </c>
      <c r="AB41" s="2">
        <f>IF(ISBLANK(Calculate_Business_Metadata[[#This Row],[Updated By]])=TRUE, 0, 1)</f>
        <v>1</v>
      </c>
      <c r="AD41" s="2">
        <f>IF(OR(
ISERROR(FIND("  ",Calculate_Business_Metadata[[#This Row],[Business Attribute Name]], 1))=FALSE,
ISERROR(FIND("_",Calculate_Business_Metadata[[#This Row],[Business Attribute Name]], 1))=FALSE)=TRUE, 0, 1)</f>
        <v>1</v>
      </c>
      <c r="AE41" s="2">
        <f>IF(OR(
ISERROR(FIND("  ",Calculate_Business_Metadata[[#This Row],[Business Definition (EN)]], 1))=FALSE,
ISERROR(FIND("__",Calculate_Business_Metadata[[#This Row],[Business Definition (EN)]], 1))=FALSE)=TRUE, 0, 1)</f>
        <v>1</v>
      </c>
      <c r="AF41" s="2">
        <f>IF(OR(
ISERROR(FIND("  ",Calculate_Business_Metadata[[#This Row],[Column Name]], 1))=FALSE,
ISERROR(FIND("__",Calculate_Business_Metadata[[#This Row],[Column Name]], 1))=FALSE)=TRUE, 0, 1)</f>
        <v>1</v>
      </c>
      <c r="AG41" s="2">
        <f>IF(OR(
ISERROR(FIND("  ",Calculate_Business_Metadata[[#This Row],[Business Data Steward]], 1))=FALSE,
ISERROR(FIND("_",Calculate_Business_Metadata[[#This Row],[Business Data Steward]], 1))=FALSE)=TRUE, 0, 1)</f>
        <v>1</v>
      </c>
      <c r="AH41" s="2">
        <f>IF(OR(
ISERROR(FIND("  ",Calculate_Business_Metadata[[#This Row],[Data Owner]], 1))=FALSE,
ISERROR(FIND("_",Calculate_Business_Metadata[[#This Row],[Data Owner]], 1))=FALSE)=TRUE, 0, 1)</f>
        <v>1</v>
      </c>
      <c r="AI41" s="2">
        <f>IF(OR(
ISERROR(FIND("  ",Calculate_Business_Metadata[[#This Row],[Updated By]], 1))=FALSE,
ISERROR(FIND("_",Calculate_Business_Metadata[[#This Row],[Updated By]], 1))=FALSE)=TRUE, 0, 1)</f>
        <v>1</v>
      </c>
      <c r="AK41" s="2">
        <f>IF(OR(ISERROR(FIND("PII",Calculate_Business_Metadata[[#This Row],[PII/Non-PII]], 1))=FALSE, ISERROR(FIND("PII",Calculate_Business_Metadata[[#This Row],[PII/Non-PII]], 1))=FALSE)=TRUE, 1, 0)</f>
        <v>1</v>
      </c>
      <c r="AM41" s="2">
        <f>IF( COUNTIFS(B:B, Calculate_Business_Metadata[[#This Row],[Business Attribute Name]], D:D, Calculate_Business_Metadata[[#This Row],[Column Name]], L:L, Calculate_Business_Metadata[[#This Row],[Subdomain]]) &gt; 1, 0, 1)</f>
        <v>1</v>
      </c>
      <c r="AN41" s="2" t="str">
        <f>LEFT(Calculate_Business_Metadata[[#This Row],[Business Definition (EN)]], 150)</f>
        <v>Code numberic refers to the account of Structured Notes product.</v>
      </c>
      <c r="AO41" s="2">
        <f ca="1">IF( COUNTIFS(AO:AO,AN41, B:B, Calculate_Business_Metadata[[#This Row],[Business Attribute Name]],L:L, Calculate_Business_Metadata[[#This Row],[Subdomain]]) &lt;&gt; 1, 0, 1)</f>
        <v>0</v>
      </c>
      <c r="AP41" s="2">
        <f>IF(COUNTIFS(B:B, Calculate_Business_Metadata[[#This Row],[Business Attribute Name]], D:D, Calculate_Business_Metadata[[#This Row],[Column Name]], AN:AN, AN41) &gt;1, 0, 1)</f>
        <v>1</v>
      </c>
      <c r="AR41" s="2">
        <f>IF(COUNTIFS('Cal_Technical - Column'!D:D, Calculate_Business_Metadata[[#This Row],[Column Name]])&gt; 0, 1, 0)</f>
        <v>1</v>
      </c>
    </row>
    <row r="42" spans="1:44" ht="56" x14ac:dyDescent="0.3">
      <c r="A42" s="74">
        <v>41</v>
      </c>
      <c r="B42" s="74" t="s">
        <v>541</v>
      </c>
      <c r="C42" s="1" t="s">
        <v>542</v>
      </c>
      <c r="D42" s="74" t="s">
        <v>482</v>
      </c>
      <c r="E42" s="74" t="s">
        <v>43</v>
      </c>
      <c r="F42" s="2" t="s">
        <v>47</v>
      </c>
      <c r="G42" s="74" t="s">
        <v>532</v>
      </c>
      <c r="H42" s="74" t="s">
        <v>113</v>
      </c>
      <c r="I42" s="74" t="s">
        <v>114</v>
      </c>
      <c r="J42" s="70">
        <v>45372</v>
      </c>
      <c r="K42" s="74" t="s">
        <v>49</v>
      </c>
      <c r="L42" s="74" t="s">
        <v>519</v>
      </c>
      <c r="N42" s="2">
        <f>IF(ISBLANK(Calculate_Business_Metadata[[#This Row],[Business Attribute Name]])=TRUE, 0, 1)</f>
        <v>1</v>
      </c>
      <c r="O42" s="2">
        <f>IF(ISBLANK(Calculate_Business_Metadata[[#This Row],[Business Definition (EN)]])=TRUE, 0, 1)</f>
        <v>1</v>
      </c>
      <c r="P42" s="2">
        <f>IF(ISBLANK(Calculate_Business_Metadata[[#This Row],[Column Name]])=TRUE, 0, 1)</f>
        <v>1</v>
      </c>
      <c r="Q42" s="2">
        <f>IF(ISBLANK(Calculate_Business_Metadata[[#This Row],[PII/Non-PII]])=TRUE, 0, 1)</f>
        <v>1</v>
      </c>
      <c r="R42" s="2" t="b">
        <f>ISERROR(FIND("-", Calculate_Business_Metadata[[#This Row],[List of Allowable Values]]))</f>
        <v>0</v>
      </c>
      <c r="S42" s="2" t="b">
        <f>ISERROR(FIND("Flag",Calculate_Business_Metadata[[#This Row],[List of Allowable Values]], 1))</f>
        <v>1</v>
      </c>
      <c r="T42" s="2" t="b">
        <f>ISERROR(FIND("In this case, the list of allowable values can be contact",Calculate_Business_Metadata[[#This Row],[List of Allowable Values]], 1))</f>
        <v>1</v>
      </c>
      <c r="U42" s="2" t="b">
        <f>ISERROR(FIND("In this case, the list of allowable values can be found",Calculate_Business_Metadata[[#This Row],[List of Allowable Values]], 1))</f>
        <v>1</v>
      </c>
      <c r="V42" s="2" t="b">
        <f>ISERROR(FIND("list of allowable values",Calculate_Business_Metadata[[#This Row],[List of Allowable Values]], 1))</f>
        <v>1</v>
      </c>
      <c r="W42" s="2">
        <f t="shared" si="1"/>
        <v>1</v>
      </c>
      <c r="X42" s="2">
        <f>IF(ISBLANK(Calculate_Business_Metadata[[#This Row],[Sample Data]])=TRUE, 0, 1)</f>
        <v>1</v>
      </c>
      <c r="Y42" s="2">
        <f>IF(ISBLANK(Calculate_Business_Metadata[[#This Row],[Business Data Steward]])=TRUE, 0, 1)</f>
        <v>1</v>
      </c>
      <c r="Z42" s="2">
        <f>IF(ISBLANK(Calculate_Business_Metadata[[#This Row],[Data Owner]])=TRUE, 0, 1)</f>
        <v>1</v>
      </c>
      <c r="AA42" s="2">
        <f>IF(ISBLANK(Calculate_Business_Metadata[[#This Row],[Updated Date]])=TRUE, 0, 1)</f>
        <v>1</v>
      </c>
      <c r="AB42" s="2">
        <f>IF(ISBLANK(Calculate_Business_Metadata[[#This Row],[Updated By]])=TRUE, 0, 1)</f>
        <v>1</v>
      </c>
      <c r="AD42" s="2">
        <f>IF(OR(
ISERROR(FIND("  ",Calculate_Business_Metadata[[#This Row],[Business Attribute Name]], 1))=FALSE,
ISERROR(FIND("_",Calculate_Business_Metadata[[#This Row],[Business Attribute Name]], 1))=FALSE)=TRUE, 0, 1)</f>
        <v>1</v>
      </c>
      <c r="AE42" s="2">
        <f>IF(OR(
ISERROR(FIND("  ",Calculate_Business_Metadata[[#This Row],[Business Definition (EN)]], 1))=FALSE,
ISERROR(FIND("__",Calculate_Business_Metadata[[#This Row],[Business Definition (EN)]], 1))=FALSE)=TRUE, 0, 1)</f>
        <v>1</v>
      </c>
      <c r="AF42" s="2">
        <f>IF(OR(
ISERROR(FIND("  ",Calculate_Business_Metadata[[#This Row],[Column Name]], 1))=FALSE,
ISERROR(FIND("__",Calculate_Business_Metadata[[#This Row],[Column Name]], 1))=FALSE)=TRUE, 0, 1)</f>
        <v>1</v>
      </c>
      <c r="AG42" s="2">
        <f>IF(OR(
ISERROR(FIND("  ",Calculate_Business_Metadata[[#This Row],[Business Data Steward]], 1))=FALSE,
ISERROR(FIND("_",Calculate_Business_Metadata[[#This Row],[Business Data Steward]], 1))=FALSE)=TRUE, 0, 1)</f>
        <v>1</v>
      </c>
      <c r="AH42" s="2">
        <f>IF(OR(
ISERROR(FIND("  ",Calculate_Business_Metadata[[#This Row],[Data Owner]], 1))=FALSE,
ISERROR(FIND("_",Calculate_Business_Metadata[[#This Row],[Data Owner]], 1))=FALSE)=TRUE, 0, 1)</f>
        <v>1</v>
      </c>
      <c r="AI42" s="2">
        <f>IF(OR(
ISERROR(FIND("  ",Calculate_Business_Metadata[[#This Row],[Updated By]], 1))=FALSE,
ISERROR(FIND("_",Calculate_Business_Metadata[[#This Row],[Updated By]], 1))=FALSE)=TRUE, 0, 1)</f>
        <v>1</v>
      </c>
      <c r="AK42" s="2">
        <f>IF(OR(ISERROR(FIND("PII",Calculate_Business_Metadata[[#This Row],[PII/Non-PII]], 1))=FALSE, ISERROR(FIND("PII",Calculate_Business_Metadata[[#This Row],[PII/Non-PII]], 1))=FALSE)=TRUE, 1, 0)</f>
        <v>1</v>
      </c>
      <c r="AM42" s="2">
        <f>IF( COUNTIFS(B:B, Calculate_Business_Metadata[[#This Row],[Business Attribute Name]], D:D, Calculate_Business_Metadata[[#This Row],[Column Name]], L:L, Calculate_Business_Metadata[[#This Row],[Subdomain]]) &gt; 1, 0, 1)</f>
        <v>1</v>
      </c>
      <c r="AN42" s="2" t="str">
        <f>LEFT(Calculate_Business_Metadata[[#This Row],[Business Definition (EN)]], 150)</f>
        <v>Code numberic refers to the account of Thailand Futures Exchange product.</v>
      </c>
      <c r="AO42" s="2">
        <f ca="1">IF( COUNTIFS(AO:AO,AN42, B:B, Calculate_Business_Metadata[[#This Row],[Business Attribute Name]],L:L, Calculate_Business_Metadata[[#This Row],[Subdomain]]) &lt;&gt; 1, 0, 1)</f>
        <v>0</v>
      </c>
      <c r="AP42" s="2">
        <f>IF(COUNTIFS(B:B, Calculate_Business_Metadata[[#This Row],[Business Attribute Name]], D:D, Calculate_Business_Metadata[[#This Row],[Column Name]], AN:AN, AN42) &gt;1, 0, 1)</f>
        <v>1</v>
      </c>
      <c r="AR42" s="2">
        <f>IF(COUNTIFS('Cal_Technical - Column'!D:D, Calculate_Business_Metadata[[#This Row],[Column Name]])&gt; 0, 1, 0)</f>
        <v>1</v>
      </c>
    </row>
    <row r="43" spans="1:44" ht="84" x14ac:dyDescent="0.3">
      <c r="A43" s="74">
        <v>42</v>
      </c>
      <c r="B43" s="74" t="s">
        <v>543</v>
      </c>
      <c r="C43" s="1" t="s">
        <v>544</v>
      </c>
      <c r="D43" s="74" t="s">
        <v>483</v>
      </c>
      <c r="E43" s="74" t="s">
        <v>43</v>
      </c>
      <c r="F43" s="2" t="s">
        <v>47</v>
      </c>
      <c r="G43" s="74" t="s">
        <v>545</v>
      </c>
      <c r="H43" s="74" t="s">
        <v>113</v>
      </c>
      <c r="I43" s="74" t="s">
        <v>114</v>
      </c>
      <c r="J43" s="70">
        <v>45372</v>
      </c>
      <c r="K43" s="74" t="s">
        <v>49</v>
      </c>
      <c r="L43" s="74" t="s">
        <v>519</v>
      </c>
      <c r="N43" s="2">
        <f>IF(ISBLANK(Calculate_Business_Metadata[[#This Row],[Business Attribute Name]])=TRUE, 0, 1)</f>
        <v>1</v>
      </c>
      <c r="O43" s="2">
        <f>IF(ISBLANK(Calculate_Business_Metadata[[#This Row],[Business Definition (EN)]])=TRUE, 0, 1)</f>
        <v>1</v>
      </c>
      <c r="P43" s="2">
        <f>IF(ISBLANK(Calculate_Business_Metadata[[#This Row],[Column Name]])=TRUE, 0, 1)</f>
        <v>1</v>
      </c>
      <c r="Q43" s="2">
        <f>IF(ISBLANK(Calculate_Business_Metadata[[#This Row],[PII/Non-PII]])=TRUE, 0, 1)</f>
        <v>1</v>
      </c>
      <c r="R43" s="2" t="b">
        <f>ISERROR(FIND("-", Calculate_Business_Metadata[[#This Row],[List of Allowable Values]]))</f>
        <v>0</v>
      </c>
      <c r="S43" s="2" t="b">
        <f>ISERROR(FIND("Flag",Calculate_Business_Metadata[[#This Row],[List of Allowable Values]], 1))</f>
        <v>1</v>
      </c>
      <c r="T43" s="2" t="b">
        <f>ISERROR(FIND("In this case, the list of allowable values can be contact",Calculate_Business_Metadata[[#This Row],[List of Allowable Values]], 1))</f>
        <v>1</v>
      </c>
      <c r="U43" s="2" t="b">
        <f>ISERROR(FIND("In this case, the list of allowable values can be found",Calculate_Business_Metadata[[#This Row],[List of Allowable Values]], 1))</f>
        <v>1</v>
      </c>
      <c r="V43" s="2" t="b">
        <f>ISERROR(FIND("list of allowable values",Calculate_Business_Metadata[[#This Row],[List of Allowable Values]], 1))</f>
        <v>1</v>
      </c>
      <c r="W43" s="2">
        <f t="shared" si="1"/>
        <v>1</v>
      </c>
      <c r="X43" s="2">
        <f>IF(ISBLANK(Calculate_Business_Metadata[[#This Row],[Sample Data]])=TRUE, 0, 1)</f>
        <v>1</v>
      </c>
      <c r="Y43" s="2">
        <f>IF(ISBLANK(Calculate_Business_Metadata[[#This Row],[Business Data Steward]])=TRUE, 0, 1)</f>
        <v>1</v>
      </c>
      <c r="Z43" s="2">
        <f>IF(ISBLANK(Calculate_Business_Metadata[[#This Row],[Data Owner]])=TRUE, 0, 1)</f>
        <v>1</v>
      </c>
      <c r="AA43" s="2">
        <f>IF(ISBLANK(Calculate_Business_Metadata[[#This Row],[Updated Date]])=TRUE, 0, 1)</f>
        <v>1</v>
      </c>
      <c r="AB43" s="2">
        <f>IF(ISBLANK(Calculate_Business_Metadata[[#This Row],[Updated By]])=TRUE, 0, 1)</f>
        <v>1</v>
      </c>
      <c r="AD43" s="2">
        <f>IF(OR(
ISERROR(FIND("  ",Calculate_Business_Metadata[[#This Row],[Business Attribute Name]], 1))=FALSE,
ISERROR(FIND("_",Calculate_Business_Metadata[[#This Row],[Business Attribute Name]], 1))=FALSE)=TRUE, 0, 1)</f>
        <v>1</v>
      </c>
      <c r="AE43" s="2">
        <f>IF(OR(
ISERROR(FIND("  ",Calculate_Business_Metadata[[#This Row],[Business Definition (EN)]], 1))=FALSE,
ISERROR(FIND("__",Calculate_Business_Metadata[[#This Row],[Business Definition (EN)]], 1))=FALSE)=TRUE, 0, 1)</f>
        <v>1</v>
      </c>
      <c r="AF43" s="2">
        <f>IF(OR(
ISERROR(FIND("  ",Calculate_Business_Metadata[[#This Row],[Column Name]], 1))=FALSE,
ISERROR(FIND("__",Calculate_Business_Metadata[[#This Row],[Column Name]], 1))=FALSE)=TRUE, 0, 1)</f>
        <v>1</v>
      </c>
      <c r="AG43" s="2">
        <f>IF(OR(
ISERROR(FIND("  ",Calculate_Business_Metadata[[#This Row],[Business Data Steward]], 1))=FALSE,
ISERROR(FIND("_",Calculate_Business_Metadata[[#This Row],[Business Data Steward]], 1))=FALSE)=TRUE, 0, 1)</f>
        <v>1</v>
      </c>
      <c r="AH43" s="2">
        <f>IF(OR(
ISERROR(FIND("  ",Calculate_Business_Metadata[[#This Row],[Data Owner]], 1))=FALSE,
ISERROR(FIND("_",Calculate_Business_Metadata[[#This Row],[Data Owner]], 1))=FALSE)=TRUE, 0, 1)</f>
        <v>1</v>
      </c>
      <c r="AI43" s="2">
        <f>IF(OR(
ISERROR(FIND("  ",Calculate_Business_Metadata[[#This Row],[Updated By]], 1))=FALSE,
ISERROR(FIND("_",Calculate_Business_Metadata[[#This Row],[Updated By]], 1))=FALSE)=TRUE, 0, 1)</f>
        <v>1</v>
      </c>
      <c r="AK43" s="2">
        <f>IF(OR(ISERROR(FIND("PII",Calculate_Business_Metadata[[#This Row],[PII/Non-PII]], 1))=FALSE, ISERROR(FIND("PII",Calculate_Business_Metadata[[#This Row],[PII/Non-PII]], 1))=FALSE)=TRUE, 1, 0)</f>
        <v>1</v>
      </c>
      <c r="AM43" s="2">
        <f>IF( COUNTIFS(B:B, Calculate_Business_Metadata[[#This Row],[Business Attribute Name]], D:D, Calculate_Business_Metadata[[#This Row],[Column Name]], L:L, Calculate_Business_Metadata[[#This Row],[Subdomain]]) &gt; 1, 0, 1)</f>
        <v>1</v>
      </c>
      <c r="AN43" s="2" t="str">
        <f>LEFT(Calculate_Business_Metadata[[#This Row],[Business Definition (EN)]], 150)</f>
        <v>An account type is assigned to an organization to indicate what type of investment account it is related to.</v>
      </c>
      <c r="AO43" s="2">
        <f ca="1">IF( COUNTIFS(AO:AO,AN43, B:B, Calculate_Business_Metadata[[#This Row],[Business Attribute Name]],L:L, Calculate_Business_Metadata[[#This Row],[Subdomain]]) &lt;&gt; 1, 0, 1)</f>
        <v>0</v>
      </c>
      <c r="AP43" s="2">
        <f>IF(COUNTIFS(B:B, Calculate_Business_Metadata[[#This Row],[Business Attribute Name]], D:D, Calculate_Business_Metadata[[#This Row],[Column Name]], AN:AN, AN43) &gt;1, 0, 1)</f>
        <v>1</v>
      </c>
      <c r="AR43" s="2">
        <f>IF(COUNTIFS('Cal_Technical - Column'!D:D, Calculate_Business_Metadata[[#This Row],[Column Name]])&gt; 0, 1, 0)</f>
        <v>1</v>
      </c>
    </row>
    <row r="44" spans="1:44" ht="238" x14ac:dyDescent="0.3">
      <c r="A44" s="74">
        <v>43</v>
      </c>
      <c r="B44" s="74" t="s">
        <v>546</v>
      </c>
      <c r="C44" s="1" t="s">
        <v>547</v>
      </c>
      <c r="D44" s="74" t="s">
        <v>484</v>
      </c>
      <c r="E44" s="74" t="s">
        <v>43</v>
      </c>
      <c r="F44" s="2" t="s">
        <v>47</v>
      </c>
      <c r="G44" s="74" t="s">
        <v>548</v>
      </c>
      <c r="H44" s="74" t="s">
        <v>113</v>
      </c>
      <c r="I44" s="74" t="s">
        <v>114</v>
      </c>
      <c r="J44" s="70">
        <v>45372</v>
      </c>
      <c r="K44" s="74" t="s">
        <v>49</v>
      </c>
      <c r="L44" s="74" t="s">
        <v>519</v>
      </c>
      <c r="N44" s="2">
        <f>IF(ISBLANK(Calculate_Business_Metadata[[#This Row],[Business Attribute Name]])=TRUE, 0, 1)</f>
        <v>1</v>
      </c>
      <c r="O44" s="2">
        <f>IF(ISBLANK(Calculate_Business_Metadata[[#This Row],[Business Definition (EN)]])=TRUE, 0, 1)</f>
        <v>1</v>
      </c>
      <c r="P44" s="2">
        <f>IF(ISBLANK(Calculate_Business_Metadata[[#This Row],[Column Name]])=TRUE, 0, 1)</f>
        <v>1</v>
      </c>
      <c r="Q44" s="2">
        <f>IF(ISBLANK(Calculate_Business_Metadata[[#This Row],[PII/Non-PII]])=TRUE, 0, 1)</f>
        <v>1</v>
      </c>
      <c r="R44" s="2" t="b">
        <f>ISERROR(FIND("-", Calculate_Business_Metadata[[#This Row],[List of Allowable Values]]))</f>
        <v>0</v>
      </c>
      <c r="S44" s="2" t="b">
        <f>ISERROR(FIND("Flag",Calculate_Business_Metadata[[#This Row],[List of Allowable Values]], 1))</f>
        <v>1</v>
      </c>
      <c r="T44" s="2" t="b">
        <f>ISERROR(FIND("In this case, the list of allowable values can be contact",Calculate_Business_Metadata[[#This Row],[List of Allowable Values]], 1))</f>
        <v>1</v>
      </c>
      <c r="U44" s="2" t="b">
        <f>ISERROR(FIND("In this case, the list of allowable values can be found",Calculate_Business_Metadata[[#This Row],[List of Allowable Values]], 1))</f>
        <v>1</v>
      </c>
      <c r="V44" s="2" t="b">
        <f>ISERROR(FIND("list of allowable values",Calculate_Business_Metadata[[#This Row],[List of Allowable Values]], 1))</f>
        <v>1</v>
      </c>
      <c r="W44" s="2">
        <f t="shared" si="1"/>
        <v>1</v>
      </c>
      <c r="X44" s="2">
        <f>IF(ISBLANK(Calculate_Business_Metadata[[#This Row],[Sample Data]])=TRUE, 0, 1)</f>
        <v>1</v>
      </c>
      <c r="Y44" s="2">
        <f>IF(ISBLANK(Calculate_Business_Metadata[[#This Row],[Business Data Steward]])=TRUE, 0, 1)</f>
        <v>1</v>
      </c>
      <c r="Z44" s="2">
        <f>IF(ISBLANK(Calculate_Business_Metadata[[#This Row],[Data Owner]])=TRUE, 0, 1)</f>
        <v>1</v>
      </c>
      <c r="AA44" s="2">
        <f>IF(ISBLANK(Calculate_Business_Metadata[[#This Row],[Updated Date]])=TRUE, 0, 1)</f>
        <v>1</v>
      </c>
      <c r="AB44" s="2">
        <f>IF(ISBLANK(Calculate_Business_Metadata[[#This Row],[Updated By]])=TRUE, 0, 1)</f>
        <v>1</v>
      </c>
      <c r="AD44" s="2">
        <f>IF(OR(
ISERROR(FIND("  ",Calculate_Business_Metadata[[#This Row],[Business Attribute Name]], 1))=FALSE,
ISERROR(FIND("_",Calculate_Business_Metadata[[#This Row],[Business Attribute Name]], 1))=FALSE)=TRUE, 0, 1)</f>
        <v>1</v>
      </c>
      <c r="AE44" s="2">
        <f>IF(OR(
ISERROR(FIND("  ",Calculate_Business_Metadata[[#This Row],[Business Definition (EN)]], 1))=FALSE,
ISERROR(FIND("__",Calculate_Business_Metadata[[#This Row],[Business Definition (EN)]], 1))=FALSE)=TRUE, 0, 1)</f>
        <v>1</v>
      </c>
      <c r="AF44" s="2">
        <f>IF(OR(
ISERROR(FIND("  ",Calculate_Business_Metadata[[#This Row],[Column Name]], 1))=FALSE,
ISERROR(FIND("__",Calculate_Business_Metadata[[#This Row],[Column Name]], 1))=FALSE)=TRUE, 0, 1)</f>
        <v>1</v>
      </c>
      <c r="AG44" s="2">
        <f>IF(OR(
ISERROR(FIND("  ",Calculate_Business_Metadata[[#This Row],[Business Data Steward]], 1))=FALSE,
ISERROR(FIND("_",Calculate_Business_Metadata[[#This Row],[Business Data Steward]], 1))=FALSE)=TRUE, 0, 1)</f>
        <v>1</v>
      </c>
      <c r="AH44" s="2">
        <f>IF(OR(
ISERROR(FIND("  ",Calculate_Business_Metadata[[#This Row],[Data Owner]], 1))=FALSE,
ISERROR(FIND("_",Calculate_Business_Metadata[[#This Row],[Data Owner]], 1))=FALSE)=TRUE, 0, 1)</f>
        <v>1</v>
      </c>
      <c r="AI44" s="2">
        <f>IF(OR(
ISERROR(FIND("  ",Calculate_Business_Metadata[[#This Row],[Updated By]], 1))=FALSE,
ISERROR(FIND("_",Calculate_Business_Metadata[[#This Row],[Updated By]], 1))=FALSE)=TRUE, 0, 1)</f>
        <v>1</v>
      </c>
      <c r="AK44" s="2">
        <f>IF(OR(ISERROR(FIND("PII",Calculate_Business_Metadata[[#This Row],[PII/Non-PII]], 1))=FALSE, ISERROR(FIND("PII",Calculate_Business_Metadata[[#This Row],[PII/Non-PII]], 1))=FALSE)=TRUE, 1, 0)</f>
        <v>1</v>
      </c>
      <c r="AM44" s="2">
        <f>IF( COUNTIFS(B:B, Calculate_Business_Metadata[[#This Row],[Business Attribute Name]], D:D, Calculate_Business_Metadata[[#This Row],[Column Name]], L:L, Calculate_Business_Metadata[[#This Row],[Subdomain]]) &gt; 1, 0, 1)</f>
        <v>1</v>
      </c>
      <c r="AN44" s="2" t="str">
        <f>LEFT(Calculate_Business_Metadata[[#This Row],[Business Definition (EN)]], 150)</f>
        <v>Line Available is the actual buying amount at that time. or the actual value of the remaining amount Which is update in real-time, that is, when an in</v>
      </c>
      <c r="AO44" s="2">
        <f ca="1">IF( COUNTIFS(AO:AO,AN44, B:B, Calculate_Business_Metadata[[#This Row],[Business Attribute Name]],L:L, Calculate_Business_Metadata[[#This Row],[Subdomain]]) &lt;&gt; 1, 0, 1)</f>
        <v>0</v>
      </c>
      <c r="AP44" s="2">
        <f>IF(COUNTIFS(B:B, Calculate_Business_Metadata[[#This Row],[Business Attribute Name]], D:D, Calculate_Business_Metadata[[#This Row],[Column Name]], AN:AN, AN44) &gt;1, 0, 1)</f>
        <v>1</v>
      </c>
      <c r="AR44" s="2">
        <f>IF(COUNTIFS('Cal_Technical - Column'!D:D, Calculate_Business_Metadata[[#This Row],[Column Name]])&gt; 0, 1, 0)</f>
        <v>1</v>
      </c>
    </row>
    <row r="45" spans="1:44" ht="126" x14ac:dyDescent="0.3">
      <c r="A45" s="74">
        <v>44</v>
      </c>
      <c r="B45" s="74" t="s">
        <v>549</v>
      </c>
      <c r="C45" s="1" t="s">
        <v>550</v>
      </c>
      <c r="D45" s="74" t="s">
        <v>485</v>
      </c>
      <c r="E45" s="74" t="s">
        <v>43</v>
      </c>
      <c r="F45" s="2" t="s">
        <v>47</v>
      </c>
      <c r="G45" s="74" t="s">
        <v>551</v>
      </c>
      <c r="H45" s="74" t="s">
        <v>113</v>
      </c>
      <c r="I45" s="74" t="s">
        <v>114</v>
      </c>
      <c r="J45" s="70">
        <v>45372</v>
      </c>
      <c r="K45" s="74" t="s">
        <v>49</v>
      </c>
      <c r="L45" s="74" t="s">
        <v>519</v>
      </c>
      <c r="N45" s="2">
        <f>IF(ISBLANK(Calculate_Business_Metadata[[#This Row],[Business Attribute Name]])=TRUE, 0, 1)</f>
        <v>1</v>
      </c>
      <c r="O45" s="2">
        <f>IF(ISBLANK(Calculate_Business_Metadata[[#This Row],[Business Definition (EN)]])=TRUE, 0, 1)</f>
        <v>1</v>
      </c>
      <c r="P45" s="2">
        <f>IF(ISBLANK(Calculate_Business_Metadata[[#This Row],[Column Name]])=TRUE, 0, 1)</f>
        <v>1</v>
      </c>
      <c r="Q45" s="2">
        <f>IF(ISBLANK(Calculate_Business_Metadata[[#This Row],[PII/Non-PII]])=TRUE, 0, 1)</f>
        <v>1</v>
      </c>
      <c r="R45" s="2" t="b">
        <f>ISERROR(FIND("-", Calculate_Business_Metadata[[#This Row],[List of Allowable Values]]))</f>
        <v>0</v>
      </c>
      <c r="S45" s="2" t="b">
        <f>ISERROR(FIND("Flag",Calculate_Business_Metadata[[#This Row],[List of Allowable Values]], 1))</f>
        <v>1</v>
      </c>
      <c r="T45" s="2" t="b">
        <f>ISERROR(FIND("In this case, the list of allowable values can be contact",Calculate_Business_Metadata[[#This Row],[List of Allowable Values]], 1))</f>
        <v>1</v>
      </c>
      <c r="U45" s="2" t="b">
        <f>ISERROR(FIND("In this case, the list of allowable values can be found",Calculate_Business_Metadata[[#This Row],[List of Allowable Values]], 1))</f>
        <v>1</v>
      </c>
      <c r="V45" s="2" t="b">
        <f>ISERROR(FIND("list of allowable values",Calculate_Business_Metadata[[#This Row],[List of Allowable Values]], 1))</f>
        <v>1</v>
      </c>
      <c r="W45" s="2">
        <f t="shared" si="1"/>
        <v>1</v>
      </c>
      <c r="X45" s="2">
        <f>IF(ISBLANK(Calculate_Business_Metadata[[#This Row],[Sample Data]])=TRUE, 0, 1)</f>
        <v>1</v>
      </c>
      <c r="Y45" s="2">
        <f>IF(ISBLANK(Calculate_Business_Metadata[[#This Row],[Business Data Steward]])=TRUE, 0, 1)</f>
        <v>1</v>
      </c>
      <c r="Z45" s="2">
        <f>IF(ISBLANK(Calculate_Business_Metadata[[#This Row],[Data Owner]])=TRUE, 0, 1)</f>
        <v>1</v>
      </c>
      <c r="AA45" s="2">
        <f>IF(ISBLANK(Calculate_Business_Metadata[[#This Row],[Updated Date]])=TRUE, 0, 1)</f>
        <v>1</v>
      </c>
      <c r="AB45" s="2">
        <f>IF(ISBLANK(Calculate_Business_Metadata[[#This Row],[Updated By]])=TRUE, 0, 1)</f>
        <v>1</v>
      </c>
      <c r="AD45" s="2">
        <f>IF(OR(
ISERROR(FIND("  ",Calculate_Business_Metadata[[#This Row],[Business Attribute Name]], 1))=FALSE,
ISERROR(FIND("_",Calculate_Business_Metadata[[#This Row],[Business Attribute Name]], 1))=FALSE)=TRUE, 0, 1)</f>
        <v>1</v>
      </c>
      <c r="AE45" s="2">
        <f>IF(OR(
ISERROR(FIND("  ",Calculate_Business_Metadata[[#This Row],[Business Definition (EN)]], 1))=FALSE,
ISERROR(FIND("__",Calculate_Business_Metadata[[#This Row],[Business Definition (EN)]], 1))=FALSE)=TRUE, 0, 1)</f>
        <v>1</v>
      </c>
      <c r="AF45" s="2">
        <f>IF(OR(
ISERROR(FIND("  ",Calculate_Business_Metadata[[#This Row],[Column Name]], 1))=FALSE,
ISERROR(FIND("__",Calculate_Business_Metadata[[#This Row],[Column Name]], 1))=FALSE)=TRUE, 0, 1)</f>
        <v>1</v>
      </c>
      <c r="AG45" s="2">
        <f>IF(OR(
ISERROR(FIND("  ",Calculate_Business_Metadata[[#This Row],[Business Data Steward]], 1))=FALSE,
ISERROR(FIND("_",Calculate_Business_Metadata[[#This Row],[Business Data Steward]], 1))=FALSE)=TRUE, 0, 1)</f>
        <v>1</v>
      </c>
      <c r="AH45" s="2">
        <f>IF(OR(
ISERROR(FIND("  ",Calculate_Business_Metadata[[#This Row],[Data Owner]], 1))=FALSE,
ISERROR(FIND("_",Calculate_Business_Metadata[[#This Row],[Data Owner]], 1))=FALSE)=TRUE, 0, 1)</f>
        <v>1</v>
      </c>
      <c r="AI45" s="2">
        <f>IF(OR(
ISERROR(FIND("  ",Calculate_Business_Metadata[[#This Row],[Updated By]], 1))=FALSE,
ISERROR(FIND("_",Calculate_Business_Metadata[[#This Row],[Updated By]], 1))=FALSE)=TRUE, 0, 1)</f>
        <v>1</v>
      </c>
      <c r="AK45" s="2">
        <f>IF(OR(ISERROR(FIND("PII",Calculate_Business_Metadata[[#This Row],[PII/Non-PII]], 1))=FALSE, ISERROR(FIND("PII",Calculate_Business_Metadata[[#This Row],[PII/Non-PII]], 1))=FALSE)=TRUE, 1, 0)</f>
        <v>1</v>
      </c>
      <c r="AM45" s="2">
        <f>IF( COUNTIFS(B:B, Calculate_Business_Metadata[[#This Row],[Business Attribute Name]], D:D, Calculate_Business_Metadata[[#This Row],[Column Name]], L:L, Calculate_Business_Metadata[[#This Row],[Subdomain]]) &gt; 1, 0, 1)</f>
        <v>1</v>
      </c>
      <c r="AN45" s="2" t="str">
        <f>LEFT(Calculate_Business_Metadata[[#This Row],[Business Definition (EN)]], 150)</f>
        <v>Cash Balance is the cash value that can be withdrawn at that time. They are generally not updated in real-time and are slow to change due to the settl</v>
      </c>
      <c r="AO45" s="2">
        <f ca="1">IF( COUNTIFS(AO:AO,AN45, B:B, Calculate_Business_Metadata[[#This Row],[Business Attribute Name]],L:L, Calculate_Business_Metadata[[#This Row],[Subdomain]]) &lt;&gt; 1, 0, 1)</f>
        <v>0</v>
      </c>
      <c r="AP45" s="2">
        <f>IF(COUNTIFS(B:B, Calculate_Business_Metadata[[#This Row],[Business Attribute Name]], D:D, Calculate_Business_Metadata[[#This Row],[Column Name]], AN:AN, AN45) &gt;1, 0, 1)</f>
        <v>1</v>
      </c>
      <c r="AR45" s="2">
        <f>IF(COUNTIFS('Cal_Technical - Column'!D:D, Calculate_Business_Metadata[[#This Row],[Column Name]])&gt; 0, 1, 0)</f>
        <v>1</v>
      </c>
    </row>
    <row r="46" spans="1:44" ht="98" x14ac:dyDescent="0.3">
      <c r="A46" s="74">
        <v>45</v>
      </c>
      <c r="B46" s="74" t="s">
        <v>552</v>
      </c>
      <c r="C46" s="1" t="s">
        <v>553</v>
      </c>
      <c r="D46" s="74" t="s">
        <v>486</v>
      </c>
      <c r="E46" s="74" t="s">
        <v>43</v>
      </c>
      <c r="F46" s="2" t="s">
        <v>47</v>
      </c>
      <c r="G46" s="74" t="s">
        <v>548</v>
      </c>
      <c r="H46" s="74" t="s">
        <v>113</v>
      </c>
      <c r="I46" s="74" t="s">
        <v>114</v>
      </c>
      <c r="J46" s="70">
        <v>45372</v>
      </c>
      <c r="K46" s="74" t="s">
        <v>49</v>
      </c>
      <c r="L46" s="74" t="s">
        <v>519</v>
      </c>
      <c r="N46" s="2">
        <f>IF(ISBLANK(Calculate_Business_Metadata[[#This Row],[Business Attribute Name]])=TRUE, 0, 1)</f>
        <v>1</v>
      </c>
      <c r="O46" s="2">
        <f>IF(ISBLANK(Calculate_Business_Metadata[[#This Row],[Business Definition (EN)]])=TRUE, 0, 1)</f>
        <v>1</v>
      </c>
      <c r="P46" s="2">
        <f>IF(ISBLANK(Calculate_Business_Metadata[[#This Row],[Column Name]])=TRUE, 0, 1)</f>
        <v>1</v>
      </c>
      <c r="Q46" s="2">
        <f>IF(ISBLANK(Calculate_Business_Metadata[[#This Row],[PII/Non-PII]])=TRUE, 0, 1)</f>
        <v>1</v>
      </c>
      <c r="R46" s="2" t="b">
        <f>ISERROR(FIND("-", Calculate_Business_Metadata[[#This Row],[List of Allowable Values]]))</f>
        <v>0</v>
      </c>
      <c r="S46" s="2" t="b">
        <f>ISERROR(FIND("Flag",Calculate_Business_Metadata[[#This Row],[List of Allowable Values]], 1))</f>
        <v>1</v>
      </c>
      <c r="T46" s="2" t="b">
        <f>ISERROR(FIND("In this case, the list of allowable values can be contact",Calculate_Business_Metadata[[#This Row],[List of Allowable Values]], 1))</f>
        <v>1</v>
      </c>
      <c r="U46" s="2" t="b">
        <f>ISERROR(FIND("In this case, the list of allowable values can be found",Calculate_Business_Metadata[[#This Row],[List of Allowable Values]], 1))</f>
        <v>1</v>
      </c>
      <c r="V46" s="2" t="b">
        <f>ISERROR(FIND("list of allowable values",Calculate_Business_Metadata[[#This Row],[List of Allowable Values]], 1))</f>
        <v>1</v>
      </c>
      <c r="W46" s="2">
        <f t="shared" si="1"/>
        <v>1</v>
      </c>
      <c r="X46" s="2">
        <f>IF(ISBLANK(Calculate_Business_Metadata[[#This Row],[Sample Data]])=TRUE, 0, 1)</f>
        <v>1</v>
      </c>
      <c r="Y46" s="2">
        <f>IF(ISBLANK(Calculate_Business_Metadata[[#This Row],[Business Data Steward]])=TRUE, 0, 1)</f>
        <v>1</v>
      </c>
      <c r="Z46" s="2">
        <f>IF(ISBLANK(Calculate_Business_Metadata[[#This Row],[Data Owner]])=TRUE, 0, 1)</f>
        <v>1</v>
      </c>
      <c r="AA46" s="2">
        <f>IF(ISBLANK(Calculate_Business_Metadata[[#This Row],[Updated Date]])=TRUE, 0, 1)</f>
        <v>1</v>
      </c>
      <c r="AB46" s="2">
        <f>IF(ISBLANK(Calculate_Business_Metadata[[#This Row],[Updated By]])=TRUE, 0, 1)</f>
        <v>1</v>
      </c>
      <c r="AD46" s="2">
        <f>IF(OR(
ISERROR(FIND("  ",Calculate_Business_Metadata[[#This Row],[Business Attribute Name]], 1))=FALSE,
ISERROR(FIND("_",Calculate_Business_Metadata[[#This Row],[Business Attribute Name]], 1))=FALSE)=TRUE, 0, 1)</f>
        <v>1</v>
      </c>
      <c r="AE46" s="2">
        <f>IF(OR(
ISERROR(FIND("  ",Calculate_Business_Metadata[[#This Row],[Business Definition (EN)]], 1))=FALSE,
ISERROR(FIND("__",Calculate_Business_Metadata[[#This Row],[Business Definition (EN)]], 1))=FALSE)=TRUE, 0, 1)</f>
        <v>1</v>
      </c>
      <c r="AF46" s="2">
        <f>IF(OR(
ISERROR(FIND("  ",Calculate_Business_Metadata[[#This Row],[Column Name]], 1))=FALSE,
ISERROR(FIND("__",Calculate_Business_Metadata[[#This Row],[Column Name]], 1))=FALSE)=TRUE, 0, 1)</f>
        <v>1</v>
      </c>
      <c r="AG46" s="2">
        <f>IF(OR(
ISERROR(FIND("  ",Calculate_Business_Metadata[[#This Row],[Business Data Steward]], 1))=FALSE,
ISERROR(FIND("_",Calculate_Business_Metadata[[#This Row],[Business Data Steward]], 1))=FALSE)=TRUE, 0, 1)</f>
        <v>1</v>
      </c>
      <c r="AH46" s="2">
        <f>IF(OR(
ISERROR(FIND("  ",Calculate_Business_Metadata[[#This Row],[Data Owner]], 1))=FALSE,
ISERROR(FIND("_",Calculate_Business_Metadata[[#This Row],[Data Owner]], 1))=FALSE)=TRUE, 0, 1)</f>
        <v>1</v>
      </c>
      <c r="AI46" s="2">
        <f>IF(OR(
ISERROR(FIND("  ",Calculate_Business_Metadata[[#This Row],[Updated By]], 1))=FALSE,
ISERROR(FIND("_",Calculate_Business_Metadata[[#This Row],[Updated By]], 1))=FALSE)=TRUE, 0, 1)</f>
        <v>1</v>
      </c>
      <c r="AK46" s="2">
        <f>IF(OR(ISERROR(FIND("PII",Calculate_Business_Metadata[[#This Row],[PII/Non-PII]], 1))=FALSE, ISERROR(FIND("PII",Calculate_Business_Metadata[[#This Row],[PII/Non-PII]], 1))=FALSE)=TRUE, 1, 0)</f>
        <v>1</v>
      </c>
      <c r="AM46" s="2">
        <f>IF( COUNTIFS(B:B, Calculate_Business_Metadata[[#This Row],[Business Attribute Name]], D:D, Calculate_Business_Metadata[[#This Row],[Column Name]], L:L, Calculate_Business_Metadata[[#This Row],[Subdomain]]) &gt; 1, 0, 1)</f>
        <v>1</v>
      </c>
      <c r="AN46" s="2" t="str">
        <f>LEFT(Calculate_Business_Metadata[[#This Row],[Business Definition (EN)]], 150)</f>
        <v>Approved Credit Limit Amount refers to the limit amount of trade products that has been approved for each particular customer.</v>
      </c>
      <c r="AO46" s="2">
        <f ca="1">IF( COUNTIFS(AO:AO,AN46, B:B, Calculate_Business_Metadata[[#This Row],[Business Attribute Name]],L:L, Calculate_Business_Metadata[[#This Row],[Subdomain]]) &lt;&gt; 1, 0, 1)</f>
        <v>0</v>
      </c>
      <c r="AP46" s="2">
        <f>IF(COUNTIFS(B:B, Calculate_Business_Metadata[[#This Row],[Business Attribute Name]], D:D, Calculate_Business_Metadata[[#This Row],[Column Name]], AN:AN, AN46) &gt;1, 0, 1)</f>
        <v>1</v>
      </c>
      <c r="AR46" s="2">
        <f>IF(COUNTIFS('Cal_Technical - Column'!D:D, Calculate_Business_Metadata[[#This Row],[Column Name]])&gt; 0, 1, 0)</f>
        <v>1</v>
      </c>
    </row>
    <row r="47" spans="1:44" ht="56" x14ac:dyDescent="0.3">
      <c r="A47" s="74">
        <v>46</v>
      </c>
      <c r="B47" s="74" t="s">
        <v>554</v>
      </c>
      <c r="C47" s="1" t="s">
        <v>555</v>
      </c>
      <c r="D47" s="74" t="s">
        <v>488</v>
      </c>
      <c r="E47" s="74" t="s">
        <v>54</v>
      </c>
      <c r="F47" s="2" t="s">
        <v>47</v>
      </c>
      <c r="G47" s="74" t="s">
        <v>556</v>
      </c>
      <c r="H47" s="74" t="s">
        <v>113</v>
      </c>
      <c r="I47" s="74" t="s">
        <v>114</v>
      </c>
      <c r="J47" s="70">
        <v>45372</v>
      </c>
      <c r="K47" s="74" t="s">
        <v>49</v>
      </c>
      <c r="L47" s="74" t="s">
        <v>519</v>
      </c>
      <c r="N47" s="2">
        <f>IF(ISBLANK(Calculate_Business_Metadata[[#This Row],[Business Attribute Name]])=TRUE, 0, 1)</f>
        <v>1</v>
      </c>
      <c r="O47" s="2">
        <f>IF(ISBLANK(Calculate_Business_Metadata[[#This Row],[Business Definition (EN)]])=TRUE, 0, 1)</f>
        <v>1</v>
      </c>
      <c r="P47" s="2">
        <f>IF(ISBLANK(Calculate_Business_Metadata[[#This Row],[Column Name]])=TRUE, 0, 1)</f>
        <v>1</v>
      </c>
      <c r="Q47" s="2">
        <f>IF(ISBLANK(Calculate_Business_Metadata[[#This Row],[PII/Non-PII]])=TRUE, 0, 1)</f>
        <v>1</v>
      </c>
      <c r="R47" s="2" t="b">
        <f>ISERROR(FIND("-", Calculate_Business_Metadata[[#This Row],[List of Allowable Values]]))</f>
        <v>0</v>
      </c>
      <c r="S47" s="2" t="b">
        <f>ISERROR(FIND("Flag",Calculate_Business_Metadata[[#This Row],[List of Allowable Values]], 1))</f>
        <v>1</v>
      </c>
      <c r="T47" s="2" t="b">
        <f>ISERROR(FIND("In this case, the list of allowable values can be contact",Calculate_Business_Metadata[[#This Row],[List of Allowable Values]], 1))</f>
        <v>1</v>
      </c>
      <c r="U47" s="2" t="b">
        <f>ISERROR(FIND("In this case, the list of allowable values can be found",Calculate_Business_Metadata[[#This Row],[List of Allowable Values]], 1))</f>
        <v>1</v>
      </c>
      <c r="V47" s="2" t="b">
        <f>ISERROR(FIND("list of allowable values",Calculate_Business_Metadata[[#This Row],[List of Allowable Values]], 1))</f>
        <v>1</v>
      </c>
      <c r="W47" s="2">
        <f t="shared" si="1"/>
        <v>1</v>
      </c>
      <c r="X47" s="2">
        <f>IF(ISBLANK(Calculate_Business_Metadata[[#This Row],[Sample Data]])=TRUE, 0, 1)</f>
        <v>1</v>
      </c>
      <c r="Y47" s="2">
        <f>IF(ISBLANK(Calculate_Business_Metadata[[#This Row],[Business Data Steward]])=TRUE, 0, 1)</f>
        <v>1</v>
      </c>
      <c r="Z47" s="2">
        <f>IF(ISBLANK(Calculate_Business_Metadata[[#This Row],[Data Owner]])=TRUE, 0, 1)</f>
        <v>1</v>
      </c>
      <c r="AA47" s="2">
        <f>IF(ISBLANK(Calculate_Business_Metadata[[#This Row],[Updated Date]])=TRUE, 0, 1)</f>
        <v>1</v>
      </c>
      <c r="AB47" s="2">
        <f>IF(ISBLANK(Calculate_Business_Metadata[[#This Row],[Updated By]])=TRUE, 0, 1)</f>
        <v>1</v>
      </c>
      <c r="AD47" s="2">
        <f>IF(OR(
ISERROR(FIND("  ",Calculate_Business_Metadata[[#This Row],[Business Attribute Name]], 1))=FALSE,
ISERROR(FIND("_",Calculate_Business_Metadata[[#This Row],[Business Attribute Name]], 1))=FALSE)=TRUE, 0, 1)</f>
        <v>1</v>
      </c>
      <c r="AE47" s="2">
        <f>IF(OR(
ISERROR(FIND("  ",Calculate_Business_Metadata[[#This Row],[Business Definition (EN)]], 1))=FALSE,
ISERROR(FIND("__",Calculate_Business_Metadata[[#This Row],[Business Definition (EN)]], 1))=FALSE)=TRUE, 0, 1)</f>
        <v>1</v>
      </c>
      <c r="AF47" s="2">
        <f>IF(OR(
ISERROR(FIND("  ",Calculate_Business_Metadata[[#This Row],[Column Name]], 1))=FALSE,
ISERROR(FIND("__",Calculate_Business_Metadata[[#This Row],[Column Name]], 1))=FALSE)=TRUE, 0, 1)</f>
        <v>1</v>
      </c>
      <c r="AG47" s="2">
        <f>IF(OR(
ISERROR(FIND("  ",Calculate_Business_Metadata[[#This Row],[Business Data Steward]], 1))=FALSE,
ISERROR(FIND("_",Calculate_Business_Metadata[[#This Row],[Business Data Steward]], 1))=FALSE)=TRUE, 0, 1)</f>
        <v>1</v>
      </c>
      <c r="AH47" s="2">
        <f>IF(OR(
ISERROR(FIND("  ",Calculate_Business_Metadata[[#This Row],[Data Owner]], 1))=FALSE,
ISERROR(FIND("_",Calculate_Business_Metadata[[#This Row],[Data Owner]], 1))=FALSE)=TRUE, 0, 1)</f>
        <v>1</v>
      </c>
      <c r="AI47" s="2">
        <f>IF(OR(
ISERROR(FIND("  ",Calculate_Business_Metadata[[#This Row],[Updated By]], 1))=FALSE,
ISERROR(FIND("_",Calculate_Business_Metadata[[#This Row],[Updated By]], 1))=FALSE)=TRUE, 0, 1)</f>
        <v>1</v>
      </c>
      <c r="AK47" s="2">
        <f>IF(OR(ISERROR(FIND("PII",Calculate_Business_Metadata[[#This Row],[PII/Non-PII]], 1))=FALSE, ISERROR(FIND("PII",Calculate_Business_Metadata[[#This Row],[PII/Non-PII]], 1))=FALSE)=TRUE, 1, 0)</f>
        <v>1</v>
      </c>
      <c r="AM47" s="2">
        <f>IF( COUNTIFS(B:B, Calculate_Business_Metadata[[#This Row],[Business Attribute Name]], D:D, Calculate_Business_Metadata[[#This Row],[Column Name]], L:L, Calculate_Business_Metadata[[#This Row],[Subdomain]]) &gt; 1, 0, 1)</f>
        <v>1</v>
      </c>
      <c r="AN47" s="2" t="str">
        <f>LEFT(Calculate_Business_Metadata[[#This Row],[Business Definition (EN)]], 150)</f>
        <v>Marketing employee code of Offshore Equity-Linked Note Product.</v>
      </c>
      <c r="AO47" s="2">
        <f ca="1">IF( COUNTIFS(AO:AO,AN47, B:B, Calculate_Business_Metadata[[#This Row],[Business Attribute Name]],L:L, Calculate_Business_Metadata[[#This Row],[Subdomain]]) &lt;&gt; 1, 0, 1)</f>
        <v>0</v>
      </c>
      <c r="AP47" s="2">
        <f>IF(COUNTIFS(B:B, Calculate_Business_Metadata[[#This Row],[Business Attribute Name]], D:D, Calculate_Business_Metadata[[#This Row],[Column Name]], AN:AN, AN47) &gt;1, 0, 1)</f>
        <v>1</v>
      </c>
      <c r="AR47" s="2">
        <f>IF(COUNTIFS('Cal_Technical - Column'!D:D, Calculate_Business_Metadata[[#This Row],[Column Name]])&gt; 0, 1, 0)</f>
        <v>1</v>
      </c>
    </row>
    <row r="48" spans="1:44" ht="56" x14ac:dyDescent="0.3">
      <c r="A48" s="74">
        <v>47</v>
      </c>
      <c r="B48" s="74" t="s">
        <v>557</v>
      </c>
      <c r="C48" s="1" t="s">
        <v>558</v>
      </c>
      <c r="D48" s="74" t="s">
        <v>489</v>
      </c>
      <c r="E48" s="74" t="s">
        <v>54</v>
      </c>
      <c r="F48" s="2" t="s">
        <v>47</v>
      </c>
      <c r="G48" s="74" t="s">
        <v>559</v>
      </c>
      <c r="H48" s="74" t="s">
        <v>113</v>
      </c>
      <c r="I48" s="74" t="s">
        <v>114</v>
      </c>
      <c r="J48" s="70">
        <v>45372</v>
      </c>
      <c r="K48" s="74" t="s">
        <v>49</v>
      </c>
      <c r="L48" s="74" t="s">
        <v>519</v>
      </c>
      <c r="N48" s="2">
        <f>IF(ISBLANK(Calculate_Business_Metadata[[#This Row],[Business Attribute Name]])=TRUE, 0, 1)</f>
        <v>1</v>
      </c>
      <c r="O48" s="2">
        <f>IF(ISBLANK(Calculate_Business_Metadata[[#This Row],[Business Definition (EN)]])=TRUE, 0, 1)</f>
        <v>1</v>
      </c>
      <c r="P48" s="2">
        <f>IF(ISBLANK(Calculate_Business_Metadata[[#This Row],[Column Name]])=TRUE, 0, 1)</f>
        <v>1</v>
      </c>
      <c r="Q48" s="2">
        <f>IF(ISBLANK(Calculate_Business_Metadata[[#This Row],[PII/Non-PII]])=TRUE, 0, 1)</f>
        <v>1</v>
      </c>
      <c r="R48" s="2" t="b">
        <f>ISERROR(FIND("-", Calculate_Business_Metadata[[#This Row],[List of Allowable Values]]))</f>
        <v>0</v>
      </c>
      <c r="S48" s="2" t="b">
        <f>ISERROR(FIND("Flag",Calculate_Business_Metadata[[#This Row],[List of Allowable Values]], 1))</f>
        <v>1</v>
      </c>
      <c r="T48" s="2" t="b">
        <f>ISERROR(FIND("In this case, the list of allowable values can be contact",Calculate_Business_Metadata[[#This Row],[List of Allowable Values]], 1))</f>
        <v>1</v>
      </c>
      <c r="U48" s="2" t="b">
        <f>ISERROR(FIND("In this case, the list of allowable values can be found",Calculate_Business_Metadata[[#This Row],[List of Allowable Values]], 1))</f>
        <v>1</v>
      </c>
      <c r="V48" s="2" t="b">
        <f>ISERROR(FIND("list of allowable values",Calculate_Business_Metadata[[#This Row],[List of Allowable Values]], 1))</f>
        <v>1</v>
      </c>
      <c r="W48" s="2">
        <f t="shared" si="1"/>
        <v>1</v>
      </c>
      <c r="X48" s="2">
        <f>IF(ISBLANK(Calculate_Business_Metadata[[#This Row],[Sample Data]])=TRUE, 0, 1)</f>
        <v>1</v>
      </c>
      <c r="Y48" s="2">
        <f>IF(ISBLANK(Calculate_Business_Metadata[[#This Row],[Business Data Steward]])=TRUE, 0, 1)</f>
        <v>1</v>
      </c>
      <c r="Z48" s="2">
        <f>IF(ISBLANK(Calculate_Business_Metadata[[#This Row],[Data Owner]])=TRUE, 0, 1)</f>
        <v>1</v>
      </c>
      <c r="AA48" s="2">
        <f>IF(ISBLANK(Calculate_Business_Metadata[[#This Row],[Updated Date]])=TRUE, 0, 1)</f>
        <v>1</v>
      </c>
      <c r="AB48" s="2">
        <f>IF(ISBLANK(Calculate_Business_Metadata[[#This Row],[Updated By]])=TRUE, 0, 1)</f>
        <v>1</v>
      </c>
      <c r="AD48" s="2">
        <f>IF(OR(
ISERROR(FIND("  ",Calculate_Business_Metadata[[#This Row],[Business Attribute Name]], 1))=FALSE,
ISERROR(FIND("_",Calculate_Business_Metadata[[#This Row],[Business Attribute Name]], 1))=FALSE)=TRUE, 0, 1)</f>
        <v>1</v>
      </c>
      <c r="AE48" s="2">
        <f>IF(OR(
ISERROR(FIND("  ",Calculate_Business_Metadata[[#This Row],[Business Definition (EN)]], 1))=FALSE,
ISERROR(FIND("__",Calculate_Business_Metadata[[#This Row],[Business Definition (EN)]], 1))=FALSE)=TRUE, 0, 1)</f>
        <v>1</v>
      </c>
      <c r="AF48" s="2">
        <f>IF(OR(
ISERROR(FIND("  ",Calculate_Business_Metadata[[#This Row],[Column Name]], 1))=FALSE,
ISERROR(FIND("__",Calculate_Business_Metadata[[#This Row],[Column Name]], 1))=FALSE)=TRUE, 0, 1)</f>
        <v>1</v>
      </c>
      <c r="AG48" s="2">
        <f>IF(OR(
ISERROR(FIND("  ",Calculate_Business_Metadata[[#This Row],[Business Data Steward]], 1))=FALSE,
ISERROR(FIND("_",Calculate_Business_Metadata[[#This Row],[Business Data Steward]], 1))=FALSE)=TRUE, 0, 1)</f>
        <v>1</v>
      </c>
      <c r="AH48" s="2">
        <f>IF(OR(
ISERROR(FIND("  ",Calculate_Business_Metadata[[#This Row],[Data Owner]], 1))=FALSE,
ISERROR(FIND("_",Calculate_Business_Metadata[[#This Row],[Data Owner]], 1))=FALSE)=TRUE, 0, 1)</f>
        <v>1</v>
      </c>
      <c r="AI48" s="2">
        <f>IF(OR(
ISERROR(FIND("  ",Calculate_Business_Metadata[[#This Row],[Updated By]], 1))=FALSE,
ISERROR(FIND("_",Calculate_Business_Metadata[[#This Row],[Updated By]], 1))=FALSE)=TRUE, 0, 1)</f>
        <v>1</v>
      </c>
      <c r="AK48" s="2">
        <f>IF(OR(ISERROR(FIND("PII",Calculate_Business_Metadata[[#This Row],[PII/Non-PII]], 1))=FALSE, ISERROR(FIND("PII",Calculate_Business_Metadata[[#This Row],[PII/Non-PII]], 1))=FALSE)=TRUE, 1, 0)</f>
        <v>1</v>
      </c>
      <c r="AM48" s="2">
        <f>IF( COUNTIFS(B:B, Calculate_Business_Metadata[[#This Row],[Business Attribute Name]], D:D, Calculate_Business_Metadata[[#This Row],[Column Name]], L:L, Calculate_Business_Metadata[[#This Row],[Subdomain]]) &gt; 1, 0, 1)</f>
        <v>1</v>
      </c>
      <c r="AN48" s="2" t="str">
        <f>LEFT(Calculate_Business_Metadata[[#This Row],[Business Definition (EN)]], 150)</f>
        <v>Marketing employee thai name of Offshore Equity-Linked Note Product.</v>
      </c>
      <c r="AO48" s="2">
        <f ca="1">IF( COUNTIFS(AO:AO,AN48, B:B, Calculate_Business_Metadata[[#This Row],[Business Attribute Name]],L:L, Calculate_Business_Metadata[[#This Row],[Subdomain]]) &lt;&gt; 1, 0, 1)</f>
        <v>0</v>
      </c>
      <c r="AP48" s="2">
        <f>IF(COUNTIFS(B:B, Calculate_Business_Metadata[[#This Row],[Business Attribute Name]], D:D, Calculate_Business_Metadata[[#This Row],[Column Name]], AN:AN, AN48) &gt;1, 0, 1)</f>
        <v>1</v>
      </c>
      <c r="AR48" s="2">
        <f>IF(COUNTIFS('Cal_Technical - Column'!D:D, Calculate_Business_Metadata[[#This Row],[Column Name]])&gt; 0, 1, 0)</f>
        <v>1</v>
      </c>
    </row>
    <row r="49" spans="1:44" ht="56" x14ac:dyDescent="0.3">
      <c r="A49" s="74">
        <v>48</v>
      </c>
      <c r="B49" s="74" t="s">
        <v>560</v>
      </c>
      <c r="C49" s="1" t="s">
        <v>561</v>
      </c>
      <c r="D49" s="74" t="s">
        <v>490</v>
      </c>
      <c r="E49" s="74" t="s">
        <v>54</v>
      </c>
      <c r="F49" s="2" t="s">
        <v>47</v>
      </c>
      <c r="G49" s="74" t="s">
        <v>562</v>
      </c>
      <c r="H49" s="74" t="s">
        <v>113</v>
      </c>
      <c r="I49" s="74" t="s">
        <v>114</v>
      </c>
      <c r="J49" s="70">
        <v>45372</v>
      </c>
      <c r="K49" s="74" t="s">
        <v>49</v>
      </c>
      <c r="L49" s="74" t="s">
        <v>519</v>
      </c>
      <c r="N49" s="2">
        <f>IF(ISBLANK(Calculate_Business_Metadata[[#This Row],[Business Attribute Name]])=TRUE, 0, 1)</f>
        <v>1</v>
      </c>
      <c r="O49" s="2">
        <f>IF(ISBLANK(Calculate_Business_Metadata[[#This Row],[Business Definition (EN)]])=TRUE, 0, 1)</f>
        <v>1</v>
      </c>
      <c r="P49" s="2">
        <f>IF(ISBLANK(Calculate_Business_Metadata[[#This Row],[Column Name]])=TRUE, 0, 1)</f>
        <v>1</v>
      </c>
      <c r="Q49" s="2">
        <f>IF(ISBLANK(Calculate_Business_Metadata[[#This Row],[PII/Non-PII]])=TRUE, 0, 1)</f>
        <v>1</v>
      </c>
      <c r="R49" s="2" t="b">
        <f>ISERROR(FIND("-", Calculate_Business_Metadata[[#This Row],[List of Allowable Values]]))</f>
        <v>0</v>
      </c>
      <c r="S49" s="2" t="b">
        <f>ISERROR(FIND("Flag",Calculate_Business_Metadata[[#This Row],[List of Allowable Values]], 1))</f>
        <v>1</v>
      </c>
      <c r="T49" s="2" t="b">
        <f>ISERROR(FIND("In this case, the list of allowable values can be contact",Calculate_Business_Metadata[[#This Row],[List of Allowable Values]], 1))</f>
        <v>1</v>
      </c>
      <c r="U49" s="2" t="b">
        <f>ISERROR(FIND("In this case, the list of allowable values can be found",Calculate_Business_Metadata[[#This Row],[List of Allowable Values]], 1))</f>
        <v>1</v>
      </c>
      <c r="V49" s="2" t="b">
        <f>ISERROR(FIND("list of allowable values",Calculate_Business_Metadata[[#This Row],[List of Allowable Values]], 1))</f>
        <v>1</v>
      </c>
      <c r="W49" s="2">
        <f t="shared" si="1"/>
        <v>1</v>
      </c>
      <c r="X49" s="2">
        <f>IF(ISBLANK(Calculate_Business_Metadata[[#This Row],[Sample Data]])=TRUE, 0, 1)</f>
        <v>1</v>
      </c>
      <c r="Y49" s="2">
        <f>IF(ISBLANK(Calculate_Business_Metadata[[#This Row],[Business Data Steward]])=TRUE, 0, 1)</f>
        <v>1</v>
      </c>
      <c r="Z49" s="2">
        <f>IF(ISBLANK(Calculate_Business_Metadata[[#This Row],[Data Owner]])=TRUE, 0, 1)</f>
        <v>1</v>
      </c>
      <c r="AA49" s="2">
        <f>IF(ISBLANK(Calculate_Business_Metadata[[#This Row],[Updated Date]])=TRUE, 0, 1)</f>
        <v>1</v>
      </c>
      <c r="AB49" s="2">
        <f>IF(ISBLANK(Calculate_Business_Metadata[[#This Row],[Updated By]])=TRUE, 0, 1)</f>
        <v>1</v>
      </c>
      <c r="AD49" s="2">
        <f>IF(OR(
ISERROR(FIND("  ",Calculate_Business_Metadata[[#This Row],[Business Attribute Name]], 1))=FALSE,
ISERROR(FIND("_",Calculate_Business_Metadata[[#This Row],[Business Attribute Name]], 1))=FALSE)=TRUE, 0, 1)</f>
        <v>1</v>
      </c>
      <c r="AE49" s="2">
        <f>IF(OR(
ISERROR(FIND("  ",Calculate_Business_Metadata[[#This Row],[Business Definition (EN)]], 1))=FALSE,
ISERROR(FIND("__",Calculate_Business_Metadata[[#This Row],[Business Definition (EN)]], 1))=FALSE)=TRUE, 0, 1)</f>
        <v>1</v>
      </c>
      <c r="AF49" s="2">
        <f>IF(OR(
ISERROR(FIND("  ",Calculate_Business_Metadata[[#This Row],[Column Name]], 1))=FALSE,
ISERROR(FIND("__",Calculate_Business_Metadata[[#This Row],[Column Name]], 1))=FALSE)=TRUE, 0, 1)</f>
        <v>1</v>
      </c>
      <c r="AG49" s="2">
        <f>IF(OR(
ISERROR(FIND("  ",Calculate_Business_Metadata[[#This Row],[Business Data Steward]], 1))=FALSE,
ISERROR(FIND("_",Calculate_Business_Metadata[[#This Row],[Business Data Steward]], 1))=FALSE)=TRUE, 0, 1)</f>
        <v>1</v>
      </c>
      <c r="AH49" s="2">
        <f>IF(OR(
ISERROR(FIND("  ",Calculate_Business_Metadata[[#This Row],[Data Owner]], 1))=FALSE,
ISERROR(FIND("_",Calculate_Business_Metadata[[#This Row],[Data Owner]], 1))=FALSE)=TRUE, 0, 1)</f>
        <v>1</v>
      </c>
      <c r="AI49" s="2">
        <f>IF(OR(
ISERROR(FIND("  ",Calculate_Business_Metadata[[#This Row],[Updated By]], 1))=FALSE,
ISERROR(FIND("_",Calculate_Business_Metadata[[#This Row],[Updated By]], 1))=FALSE)=TRUE, 0, 1)</f>
        <v>1</v>
      </c>
      <c r="AK49" s="2">
        <f>IF(OR(ISERROR(FIND("PII",Calculate_Business_Metadata[[#This Row],[PII/Non-PII]], 1))=FALSE, ISERROR(FIND("PII",Calculate_Business_Metadata[[#This Row],[PII/Non-PII]], 1))=FALSE)=TRUE, 1, 0)</f>
        <v>1</v>
      </c>
      <c r="AM49" s="2">
        <f>IF( COUNTIFS(B:B, Calculate_Business_Metadata[[#This Row],[Business Attribute Name]], D:D, Calculate_Business_Metadata[[#This Row],[Column Name]], L:L, Calculate_Business_Metadata[[#This Row],[Subdomain]]) &gt; 1, 0, 1)</f>
        <v>1</v>
      </c>
      <c r="AN49" s="2" t="str">
        <f>LEFT(Calculate_Business_Metadata[[#This Row],[Business Definition (EN)]], 150)</f>
        <v>Marketing employee english name of Offshore Equity-Linked Note Product.</v>
      </c>
      <c r="AO49" s="2">
        <f ca="1">IF( COUNTIFS(AO:AO,AN49, B:B, Calculate_Business_Metadata[[#This Row],[Business Attribute Name]],L:L, Calculate_Business_Metadata[[#This Row],[Subdomain]]) &lt;&gt; 1, 0, 1)</f>
        <v>0</v>
      </c>
      <c r="AP49" s="2">
        <f>IF(COUNTIFS(B:B, Calculate_Business_Metadata[[#This Row],[Business Attribute Name]], D:D, Calculate_Business_Metadata[[#This Row],[Column Name]], AN:AN, AN49) &gt;1, 0, 1)</f>
        <v>1</v>
      </c>
      <c r="AR49" s="2">
        <f>IF(COUNTIFS('Cal_Technical - Column'!D:D, Calculate_Business_Metadata[[#This Row],[Column Name]])&gt; 0, 1, 0)</f>
        <v>1</v>
      </c>
    </row>
    <row r="50" spans="1:44" ht="56" x14ac:dyDescent="0.3">
      <c r="A50" s="74">
        <v>49</v>
      </c>
      <c r="B50" s="74" t="s">
        <v>563</v>
      </c>
      <c r="C50" s="1" t="s">
        <v>564</v>
      </c>
      <c r="D50" s="74" t="s">
        <v>491</v>
      </c>
      <c r="E50" s="74" t="s">
        <v>43</v>
      </c>
      <c r="F50" s="2" t="s">
        <v>47</v>
      </c>
      <c r="G50" s="74" t="s">
        <v>565</v>
      </c>
      <c r="H50" s="74" t="s">
        <v>113</v>
      </c>
      <c r="I50" s="74" t="s">
        <v>114</v>
      </c>
      <c r="J50" s="70">
        <v>45372</v>
      </c>
      <c r="K50" s="74" t="s">
        <v>49</v>
      </c>
      <c r="L50" s="74" t="s">
        <v>519</v>
      </c>
      <c r="N50" s="2">
        <f>IF(ISBLANK(Calculate_Business_Metadata[[#This Row],[Business Attribute Name]])=TRUE, 0, 1)</f>
        <v>1</v>
      </c>
      <c r="O50" s="2">
        <f>IF(ISBLANK(Calculate_Business_Metadata[[#This Row],[Business Definition (EN)]])=TRUE, 0, 1)</f>
        <v>1</v>
      </c>
      <c r="P50" s="2">
        <f>IF(ISBLANK(Calculate_Business_Metadata[[#This Row],[Column Name]])=TRUE, 0, 1)</f>
        <v>1</v>
      </c>
      <c r="Q50" s="2">
        <f>IF(ISBLANK(Calculate_Business_Metadata[[#This Row],[PII/Non-PII]])=TRUE, 0, 1)</f>
        <v>1</v>
      </c>
      <c r="R50" s="2" t="b">
        <f>ISERROR(FIND("-", Calculate_Business_Metadata[[#This Row],[List of Allowable Values]]))</f>
        <v>0</v>
      </c>
      <c r="S50" s="2" t="b">
        <f>ISERROR(FIND("Flag",Calculate_Business_Metadata[[#This Row],[List of Allowable Values]], 1))</f>
        <v>1</v>
      </c>
      <c r="T50" s="2" t="b">
        <f>ISERROR(FIND("In this case, the list of allowable values can be contact",Calculate_Business_Metadata[[#This Row],[List of Allowable Values]], 1))</f>
        <v>1</v>
      </c>
      <c r="U50" s="2" t="b">
        <f>ISERROR(FIND("In this case, the list of allowable values can be found",Calculate_Business_Metadata[[#This Row],[List of Allowable Values]], 1))</f>
        <v>1</v>
      </c>
      <c r="V50" s="2" t="b">
        <f>ISERROR(FIND("list of allowable values",Calculate_Business_Metadata[[#This Row],[List of Allowable Values]], 1))</f>
        <v>1</v>
      </c>
      <c r="W50" s="2">
        <f t="shared" si="1"/>
        <v>1</v>
      </c>
      <c r="X50" s="2">
        <f>IF(ISBLANK(Calculate_Business_Metadata[[#This Row],[Sample Data]])=TRUE, 0, 1)</f>
        <v>1</v>
      </c>
      <c r="Y50" s="2">
        <f>IF(ISBLANK(Calculate_Business_Metadata[[#This Row],[Business Data Steward]])=TRUE, 0, 1)</f>
        <v>1</v>
      </c>
      <c r="Z50" s="2">
        <f>IF(ISBLANK(Calculate_Business_Metadata[[#This Row],[Data Owner]])=TRUE, 0, 1)</f>
        <v>1</v>
      </c>
      <c r="AA50" s="2">
        <f>IF(ISBLANK(Calculate_Business_Metadata[[#This Row],[Updated Date]])=TRUE, 0, 1)</f>
        <v>1</v>
      </c>
      <c r="AB50" s="2">
        <f>IF(ISBLANK(Calculate_Business_Metadata[[#This Row],[Updated By]])=TRUE, 0, 1)</f>
        <v>1</v>
      </c>
      <c r="AD50" s="2">
        <f>IF(OR(
ISERROR(FIND("  ",Calculate_Business_Metadata[[#This Row],[Business Attribute Name]], 1))=FALSE,
ISERROR(FIND("_",Calculate_Business_Metadata[[#This Row],[Business Attribute Name]], 1))=FALSE)=TRUE, 0, 1)</f>
        <v>1</v>
      </c>
      <c r="AE50" s="2">
        <f>IF(OR(
ISERROR(FIND("  ",Calculate_Business_Metadata[[#This Row],[Business Definition (EN)]], 1))=FALSE,
ISERROR(FIND("__",Calculate_Business_Metadata[[#This Row],[Business Definition (EN)]], 1))=FALSE)=TRUE, 0, 1)</f>
        <v>1</v>
      </c>
      <c r="AF50" s="2">
        <f>IF(OR(
ISERROR(FIND("  ",Calculate_Business_Metadata[[#This Row],[Column Name]], 1))=FALSE,
ISERROR(FIND("__",Calculate_Business_Metadata[[#This Row],[Column Name]], 1))=FALSE)=TRUE, 0, 1)</f>
        <v>1</v>
      </c>
      <c r="AG50" s="2">
        <f>IF(OR(
ISERROR(FIND("  ",Calculate_Business_Metadata[[#This Row],[Business Data Steward]], 1))=FALSE,
ISERROR(FIND("_",Calculate_Business_Metadata[[#This Row],[Business Data Steward]], 1))=FALSE)=TRUE, 0, 1)</f>
        <v>1</v>
      </c>
      <c r="AH50" s="2">
        <f>IF(OR(
ISERROR(FIND("  ",Calculate_Business_Metadata[[#This Row],[Data Owner]], 1))=FALSE,
ISERROR(FIND("_",Calculate_Business_Metadata[[#This Row],[Data Owner]], 1))=FALSE)=TRUE, 0, 1)</f>
        <v>1</v>
      </c>
      <c r="AI50" s="2">
        <f>IF(OR(
ISERROR(FIND("  ",Calculate_Business_Metadata[[#This Row],[Updated By]], 1))=FALSE,
ISERROR(FIND("_",Calculate_Business_Metadata[[#This Row],[Updated By]], 1))=FALSE)=TRUE, 0, 1)</f>
        <v>1</v>
      </c>
      <c r="AK50" s="2">
        <f>IF(OR(ISERROR(FIND("PII",Calculate_Business_Metadata[[#This Row],[PII/Non-PII]], 1))=FALSE, ISERROR(FIND("PII",Calculate_Business_Metadata[[#This Row],[PII/Non-PII]], 1))=FALSE)=TRUE, 1, 0)</f>
        <v>1</v>
      </c>
      <c r="AM50" s="2">
        <f>IF( COUNTIFS(B:B, Calculate_Business_Metadata[[#This Row],[Business Attribute Name]], D:D, Calculate_Business_Metadata[[#This Row],[Column Name]], L:L, Calculate_Business_Metadata[[#This Row],[Subdomain]]) &gt; 1, 0, 1)</f>
        <v>1</v>
      </c>
      <c r="AN50" s="2" t="str">
        <f>LEFT(Calculate_Business_Metadata[[#This Row],[Business Definition (EN)]], 150)</f>
        <v>Marketing identifier code of Offshore Equity-Linked Note Product.</v>
      </c>
      <c r="AO50" s="2">
        <f ca="1">IF( COUNTIFS(AO:AO,AN50, B:B, Calculate_Business_Metadata[[#This Row],[Business Attribute Name]],L:L, Calculate_Business_Metadata[[#This Row],[Subdomain]]) &lt;&gt; 1, 0, 1)</f>
        <v>0</v>
      </c>
      <c r="AP50" s="2">
        <f>IF(COUNTIFS(B:B, Calculate_Business_Metadata[[#This Row],[Business Attribute Name]], D:D, Calculate_Business_Metadata[[#This Row],[Column Name]], AN:AN, AN50) &gt;1, 0, 1)</f>
        <v>1</v>
      </c>
      <c r="AR50" s="2">
        <f>IF(COUNTIFS('Cal_Technical - Column'!D:D, Calculate_Business_Metadata[[#This Row],[Column Name]])&gt; 0, 1, 0)</f>
        <v>1</v>
      </c>
    </row>
    <row r="51" spans="1:44" ht="56" x14ac:dyDescent="0.3">
      <c r="A51" s="74">
        <v>50</v>
      </c>
      <c r="B51" s="74" t="s">
        <v>566</v>
      </c>
      <c r="C51" s="1" t="s">
        <v>567</v>
      </c>
      <c r="D51" s="74" t="s">
        <v>492</v>
      </c>
      <c r="E51" s="74" t="s">
        <v>43</v>
      </c>
      <c r="F51" s="2" t="s">
        <v>47</v>
      </c>
      <c r="G51" s="74" t="s">
        <v>568</v>
      </c>
      <c r="H51" s="74" t="s">
        <v>113</v>
      </c>
      <c r="I51" s="74" t="s">
        <v>114</v>
      </c>
      <c r="J51" s="70">
        <v>45372</v>
      </c>
      <c r="K51" s="74" t="s">
        <v>49</v>
      </c>
      <c r="L51" s="74" t="s">
        <v>519</v>
      </c>
      <c r="N51" s="2">
        <f>IF(ISBLANK(Calculate_Business_Metadata[[#This Row],[Business Attribute Name]])=TRUE, 0, 1)</f>
        <v>1</v>
      </c>
      <c r="O51" s="2">
        <f>IF(ISBLANK(Calculate_Business_Metadata[[#This Row],[Business Definition (EN)]])=TRUE, 0, 1)</f>
        <v>1</v>
      </c>
      <c r="P51" s="2">
        <f>IF(ISBLANK(Calculate_Business_Metadata[[#This Row],[Column Name]])=TRUE, 0, 1)</f>
        <v>1</v>
      </c>
      <c r="Q51" s="2">
        <f>IF(ISBLANK(Calculate_Business_Metadata[[#This Row],[PII/Non-PII]])=TRUE, 0, 1)</f>
        <v>1</v>
      </c>
      <c r="R51" s="2" t="b">
        <f>ISERROR(FIND("-", Calculate_Business_Metadata[[#This Row],[List of Allowable Values]]))</f>
        <v>0</v>
      </c>
      <c r="S51" s="2" t="b">
        <f>ISERROR(FIND("Flag",Calculate_Business_Metadata[[#This Row],[List of Allowable Values]], 1))</f>
        <v>1</v>
      </c>
      <c r="T51" s="2" t="b">
        <f>ISERROR(FIND("In this case, the list of allowable values can be contact",Calculate_Business_Metadata[[#This Row],[List of Allowable Values]], 1))</f>
        <v>1</v>
      </c>
      <c r="U51" s="2" t="b">
        <f>ISERROR(FIND("In this case, the list of allowable values can be found",Calculate_Business_Metadata[[#This Row],[List of Allowable Values]], 1))</f>
        <v>1</v>
      </c>
      <c r="V51" s="2" t="b">
        <f>ISERROR(FIND("list of allowable values",Calculate_Business_Metadata[[#This Row],[List of Allowable Values]], 1))</f>
        <v>1</v>
      </c>
      <c r="W51" s="2">
        <f t="shared" si="1"/>
        <v>1</v>
      </c>
      <c r="X51" s="2">
        <f>IF(ISBLANK(Calculate_Business_Metadata[[#This Row],[Sample Data]])=TRUE, 0, 1)</f>
        <v>1</v>
      </c>
      <c r="Y51" s="2">
        <f>IF(ISBLANK(Calculate_Business_Metadata[[#This Row],[Business Data Steward]])=TRUE, 0, 1)</f>
        <v>1</v>
      </c>
      <c r="Z51" s="2">
        <f>IF(ISBLANK(Calculate_Business_Metadata[[#This Row],[Data Owner]])=TRUE, 0, 1)</f>
        <v>1</v>
      </c>
      <c r="AA51" s="2">
        <f>IF(ISBLANK(Calculate_Business_Metadata[[#This Row],[Updated Date]])=TRUE, 0, 1)</f>
        <v>1</v>
      </c>
      <c r="AB51" s="2">
        <f>IF(ISBLANK(Calculate_Business_Metadata[[#This Row],[Updated By]])=TRUE, 0, 1)</f>
        <v>1</v>
      </c>
      <c r="AD51" s="2">
        <f>IF(OR(
ISERROR(FIND("  ",Calculate_Business_Metadata[[#This Row],[Business Attribute Name]], 1))=FALSE,
ISERROR(FIND("_",Calculate_Business_Metadata[[#This Row],[Business Attribute Name]], 1))=FALSE)=TRUE, 0, 1)</f>
        <v>1</v>
      </c>
      <c r="AE51" s="2">
        <f>IF(OR(
ISERROR(FIND("  ",Calculate_Business_Metadata[[#This Row],[Business Definition (EN)]], 1))=FALSE,
ISERROR(FIND("__",Calculate_Business_Metadata[[#This Row],[Business Definition (EN)]], 1))=FALSE)=TRUE, 0, 1)</f>
        <v>1</v>
      </c>
      <c r="AF51" s="2">
        <f>IF(OR(
ISERROR(FIND("  ",Calculate_Business_Metadata[[#This Row],[Column Name]], 1))=FALSE,
ISERROR(FIND("__",Calculate_Business_Metadata[[#This Row],[Column Name]], 1))=FALSE)=TRUE, 0, 1)</f>
        <v>1</v>
      </c>
      <c r="AG51" s="2">
        <f>IF(OR(
ISERROR(FIND("  ",Calculate_Business_Metadata[[#This Row],[Business Data Steward]], 1))=FALSE,
ISERROR(FIND("_",Calculate_Business_Metadata[[#This Row],[Business Data Steward]], 1))=FALSE)=TRUE, 0, 1)</f>
        <v>1</v>
      </c>
      <c r="AH51" s="2">
        <f>IF(OR(
ISERROR(FIND("  ",Calculate_Business_Metadata[[#This Row],[Data Owner]], 1))=FALSE,
ISERROR(FIND("_",Calculate_Business_Metadata[[#This Row],[Data Owner]], 1))=FALSE)=TRUE, 0, 1)</f>
        <v>1</v>
      </c>
      <c r="AI51" s="2">
        <f>IF(OR(
ISERROR(FIND("  ",Calculate_Business_Metadata[[#This Row],[Updated By]], 1))=FALSE,
ISERROR(FIND("_",Calculate_Business_Metadata[[#This Row],[Updated By]], 1))=FALSE)=TRUE, 0, 1)</f>
        <v>1</v>
      </c>
      <c r="AK51" s="2">
        <f>IF(OR(ISERROR(FIND("PII",Calculate_Business_Metadata[[#This Row],[PII/Non-PII]], 1))=FALSE, ISERROR(FIND("PII",Calculate_Business_Metadata[[#This Row],[PII/Non-PII]], 1))=FALSE)=TRUE, 1, 0)</f>
        <v>1</v>
      </c>
      <c r="AM51" s="2">
        <f>IF( COUNTIFS(B:B, Calculate_Business_Metadata[[#This Row],[Business Attribute Name]], D:D, Calculate_Business_Metadata[[#This Row],[Column Name]], L:L, Calculate_Business_Metadata[[#This Row],[Subdomain]]) &gt; 1, 0, 1)</f>
        <v>1</v>
      </c>
      <c r="AN51" s="2" t="str">
        <f>LEFT(Calculate_Business_Metadata[[#This Row],[Business Definition (EN)]], 150)</f>
        <v>Marketing division name of Offshore Equity-Linked Note Product.</v>
      </c>
      <c r="AO51" s="2">
        <f ca="1">IF( COUNTIFS(AO:AO,AN51, B:B, Calculate_Business_Metadata[[#This Row],[Business Attribute Name]],L:L, Calculate_Business_Metadata[[#This Row],[Subdomain]]) &lt;&gt; 1, 0, 1)</f>
        <v>0</v>
      </c>
      <c r="AP51" s="2">
        <f>IF(COUNTIFS(B:B, Calculate_Business_Metadata[[#This Row],[Business Attribute Name]], D:D, Calculate_Business_Metadata[[#This Row],[Column Name]], AN:AN, AN51) &gt;1, 0, 1)</f>
        <v>1</v>
      </c>
      <c r="AR51" s="2">
        <f>IF(COUNTIFS('Cal_Technical - Column'!D:D, Calculate_Business_Metadata[[#This Row],[Column Name]])&gt; 0, 1, 0)</f>
        <v>1</v>
      </c>
    </row>
    <row r="52" spans="1:44" ht="28" x14ac:dyDescent="0.3">
      <c r="A52" s="74">
        <v>51</v>
      </c>
      <c r="B52" s="74" t="s">
        <v>569</v>
      </c>
      <c r="C52" s="1" t="s">
        <v>570</v>
      </c>
      <c r="D52" s="74" t="s">
        <v>494</v>
      </c>
      <c r="E52" s="74" t="s">
        <v>54</v>
      </c>
      <c r="F52" s="2" t="s">
        <v>47</v>
      </c>
      <c r="G52" s="74" t="s">
        <v>571</v>
      </c>
      <c r="H52" s="74" t="s">
        <v>113</v>
      </c>
      <c r="I52" s="74" t="s">
        <v>114</v>
      </c>
      <c r="J52" s="70">
        <v>45372</v>
      </c>
      <c r="K52" s="74" t="s">
        <v>49</v>
      </c>
      <c r="L52" s="74" t="s">
        <v>519</v>
      </c>
      <c r="N52" s="2">
        <f>IF(ISBLANK(Calculate_Business_Metadata[[#This Row],[Business Attribute Name]])=TRUE, 0, 1)</f>
        <v>1</v>
      </c>
      <c r="O52" s="2">
        <f>IF(ISBLANK(Calculate_Business_Metadata[[#This Row],[Business Definition (EN)]])=TRUE, 0, 1)</f>
        <v>1</v>
      </c>
      <c r="P52" s="2">
        <f>IF(ISBLANK(Calculate_Business_Metadata[[#This Row],[Column Name]])=TRUE, 0, 1)</f>
        <v>1</v>
      </c>
      <c r="Q52" s="2">
        <f>IF(ISBLANK(Calculate_Business_Metadata[[#This Row],[PII/Non-PII]])=TRUE, 0, 1)</f>
        <v>1</v>
      </c>
      <c r="R52" s="2" t="b">
        <f>ISERROR(FIND("-", Calculate_Business_Metadata[[#This Row],[List of Allowable Values]]))</f>
        <v>0</v>
      </c>
      <c r="S52" s="2" t="b">
        <f>ISERROR(FIND("Flag",Calculate_Business_Metadata[[#This Row],[List of Allowable Values]], 1))</f>
        <v>1</v>
      </c>
      <c r="T52" s="2" t="b">
        <f>ISERROR(FIND("In this case, the list of allowable values can be contact",Calculate_Business_Metadata[[#This Row],[List of Allowable Values]], 1))</f>
        <v>1</v>
      </c>
      <c r="U52" s="2" t="b">
        <f>ISERROR(FIND("In this case, the list of allowable values can be found",Calculate_Business_Metadata[[#This Row],[List of Allowable Values]], 1))</f>
        <v>1</v>
      </c>
      <c r="V52" s="2" t="b">
        <f>ISERROR(FIND("list of allowable values",Calculate_Business_Metadata[[#This Row],[List of Allowable Values]], 1))</f>
        <v>1</v>
      </c>
      <c r="W52" s="2">
        <f t="shared" si="1"/>
        <v>1</v>
      </c>
      <c r="X52" s="2">
        <f>IF(ISBLANK(Calculate_Business_Metadata[[#This Row],[Sample Data]])=TRUE, 0, 1)</f>
        <v>1</v>
      </c>
      <c r="Y52" s="2">
        <f>IF(ISBLANK(Calculate_Business_Metadata[[#This Row],[Business Data Steward]])=TRUE, 0, 1)</f>
        <v>1</v>
      </c>
      <c r="Z52" s="2">
        <f>IF(ISBLANK(Calculate_Business_Metadata[[#This Row],[Data Owner]])=TRUE, 0, 1)</f>
        <v>1</v>
      </c>
      <c r="AA52" s="2">
        <f>IF(ISBLANK(Calculate_Business_Metadata[[#This Row],[Updated Date]])=TRUE, 0, 1)</f>
        <v>1</v>
      </c>
      <c r="AB52" s="2">
        <f>IF(ISBLANK(Calculate_Business_Metadata[[#This Row],[Updated By]])=TRUE, 0, 1)</f>
        <v>1</v>
      </c>
      <c r="AD52" s="2">
        <f>IF(OR(
ISERROR(FIND("  ",Calculate_Business_Metadata[[#This Row],[Business Attribute Name]], 1))=FALSE,
ISERROR(FIND("_",Calculate_Business_Metadata[[#This Row],[Business Attribute Name]], 1))=FALSE)=TRUE, 0, 1)</f>
        <v>1</v>
      </c>
      <c r="AE52" s="2">
        <f>IF(OR(
ISERROR(FIND("  ",Calculate_Business_Metadata[[#This Row],[Business Definition (EN)]], 1))=FALSE,
ISERROR(FIND("__",Calculate_Business_Metadata[[#This Row],[Business Definition (EN)]], 1))=FALSE)=TRUE, 0, 1)</f>
        <v>1</v>
      </c>
      <c r="AF52" s="2">
        <f>IF(OR(
ISERROR(FIND("  ",Calculate_Business_Metadata[[#This Row],[Column Name]], 1))=FALSE,
ISERROR(FIND("__",Calculate_Business_Metadata[[#This Row],[Column Name]], 1))=FALSE)=TRUE, 0, 1)</f>
        <v>1</v>
      </c>
      <c r="AG52" s="2">
        <f>IF(OR(
ISERROR(FIND("  ",Calculate_Business_Metadata[[#This Row],[Business Data Steward]], 1))=FALSE,
ISERROR(FIND("_",Calculate_Business_Metadata[[#This Row],[Business Data Steward]], 1))=FALSE)=TRUE, 0, 1)</f>
        <v>1</v>
      </c>
      <c r="AH52" s="2">
        <f>IF(OR(
ISERROR(FIND("  ",Calculate_Business_Metadata[[#This Row],[Data Owner]], 1))=FALSE,
ISERROR(FIND("_",Calculate_Business_Metadata[[#This Row],[Data Owner]], 1))=FALSE)=TRUE, 0, 1)</f>
        <v>1</v>
      </c>
      <c r="AI52" s="2">
        <f>IF(OR(
ISERROR(FIND("  ",Calculate_Business_Metadata[[#This Row],[Updated By]], 1))=FALSE,
ISERROR(FIND("_",Calculate_Business_Metadata[[#This Row],[Updated By]], 1))=FALSE)=TRUE, 0, 1)</f>
        <v>1</v>
      </c>
      <c r="AK52" s="2">
        <f>IF(OR(ISERROR(FIND("PII",Calculate_Business_Metadata[[#This Row],[PII/Non-PII]], 1))=FALSE, ISERROR(FIND("PII",Calculate_Business_Metadata[[#This Row],[PII/Non-PII]], 1))=FALSE)=TRUE, 1, 0)</f>
        <v>1</v>
      </c>
      <c r="AM52" s="2">
        <f>IF( COUNTIFS(B:B, Calculate_Business_Metadata[[#This Row],[Business Attribute Name]], D:D, Calculate_Business_Metadata[[#This Row],[Column Name]], L:L, Calculate_Business_Metadata[[#This Row],[Subdomain]]) &gt; 1, 0, 1)</f>
        <v>1</v>
      </c>
      <c r="AN52" s="2" t="str">
        <f>LEFT(Calculate_Business_Metadata[[#This Row],[Business Definition (EN)]], 150)</f>
        <v>Marketing employee code of Fund Product.</v>
      </c>
      <c r="AO52" s="2">
        <f ca="1">IF( COUNTIFS(AO:AO,AN52, B:B, Calculate_Business_Metadata[[#This Row],[Business Attribute Name]],L:L, Calculate_Business_Metadata[[#This Row],[Subdomain]]) &lt;&gt; 1, 0, 1)</f>
        <v>0</v>
      </c>
      <c r="AP52" s="2">
        <f>IF(COUNTIFS(B:B, Calculate_Business_Metadata[[#This Row],[Business Attribute Name]], D:D, Calculate_Business_Metadata[[#This Row],[Column Name]], AN:AN, AN52) &gt;1, 0, 1)</f>
        <v>1</v>
      </c>
      <c r="AR52" s="2">
        <f>IF(COUNTIFS('Cal_Technical - Column'!D:D, Calculate_Business_Metadata[[#This Row],[Column Name]])&gt; 0, 1, 0)</f>
        <v>1</v>
      </c>
    </row>
    <row r="53" spans="1:44" ht="42" x14ac:dyDescent="0.3">
      <c r="A53" s="74">
        <v>52</v>
      </c>
      <c r="B53" s="74" t="s">
        <v>572</v>
      </c>
      <c r="C53" s="1" t="s">
        <v>573</v>
      </c>
      <c r="D53" s="74" t="s">
        <v>495</v>
      </c>
      <c r="E53" s="74" t="s">
        <v>54</v>
      </c>
      <c r="F53" s="2" t="s">
        <v>47</v>
      </c>
      <c r="G53" s="74" t="s">
        <v>574</v>
      </c>
      <c r="H53" s="74" t="s">
        <v>113</v>
      </c>
      <c r="I53" s="74" t="s">
        <v>114</v>
      </c>
      <c r="J53" s="70">
        <v>45372</v>
      </c>
      <c r="K53" s="74" t="s">
        <v>49</v>
      </c>
      <c r="L53" s="74" t="s">
        <v>519</v>
      </c>
      <c r="N53" s="2">
        <f>IF(ISBLANK(Calculate_Business_Metadata[[#This Row],[Business Attribute Name]])=TRUE, 0, 1)</f>
        <v>1</v>
      </c>
      <c r="O53" s="2">
        <f>IF(ISBLANK(Calculate_Business_Metadata[[#This Row],[Business Definition (EN)]])=TRUE, 0, 1)</f>
        <v>1</v>
      </c>
      <c r="P53" s="2">
        <f>IF(ISBLANK(Calculate_Business_Metadata[[#This Row],[Column Name]])=TRUE, 0, 1)</f>
        <v>1</v>
      </c>
      <c r="Q53" s="2">
        <f>IF(ISBLANK(Calculate_Business_Metadata[[#This Row],[PII/Non-PII]])=TRUE, 0, 1)</f>
        <v>1</v>
      </c>
      <c r="R53" s="2" t="b">
        <f>ISERROR(FIND("-", Calculate_Business_Metadata[[#This Row],[List of Allowable Values]]))</f>
        <v>0</v>
      </c>
      <c r="S53" s="2" t="b">
        <f>ISERROR(FIND("Flag",Calculate_Business_Metadata[[#This Row],[List of Allowable Values]], 1))</f>
        <v>1</v>
      </c>
      <c r="T53" s="2" t="b">
        <f>ISERROR(FIND("In this case, the list of allowable values can be contact",Calculate_Business_Metadata[[#This Row],[List of Allowable Values]], 1))</f>
        <v>1</v>
      </c>
      <c r="U53" s="2" t="b">
        <f>ISERROR(FIND("In this case, the list of allowable values can be found",Calculate_Business_Metadata[[#This Row],[List of Allowable Values]], 1))</f>
        <v>1</v>
      </c>
      <c r="V53" s="2" t="b">
        <f>ISERROR(FIND("list of allowable values",Calculate_Business_Metadata[[#This Row],[List of Allowable Values]], 1))</f>
        <v>1</v>
      </c>
      <c r="W53" s="2">
        <f t="shared" si="1"/>
        <v>1</v>
      </c>
      <c r="X53" s="2">
        <f>IF(ISBLANK(Calculate_Business_Metadata[[#This Row],[Sample Data]])=TRUE, 0, 1)</f>
        <v>1</v>
      </c>
      <c r="Y53" s="2">
        <f>IF(ISBLANK(Calculate_Business_Metadata[[#This Row],[Business Data Steward]])=TRUE, 0, 1)</f>
        <v>1</v>
      </c>
      <c r="Z53" s="2">
        <f>IF(ISBLANK(Calculate_Business_Metadata[[#This Row],[Data Owner]])=TRUE, 0, 1)</f>
        <v>1</v>
      </c>
      <c r="AA53" s="2">
        <f>IF(ISBLANK(Calculate_Business_Metadata[[#This Row],[Updated Date]])=TRUE, 0, 1)</f>
        <v>1</v>
      </c>
      <c r="AB53" s="2">
        <f>IF(ISBLANK(Calculate_Business_Metadata[[#This Row],[Updated By]])=TRUE, 0, 1)</f>
        <v>1</v>
      </c>
      <c r="AD53" s="2">
        <f>IF(OR(
ISERROR(FIND("  ",Calculate_Business_Metadata[[#This Row],[Business Attribute Name]], 1))=FALSE,
ISERROR(FIND("_",Calculate_Business_Metadata[[#This Row],[Business Attribute Name]], 1))=FALSE)=TRUE, 0, 1)</f>
        <v>1</v>
      </c>
      <c r="AE53" s="2">
        <f>IF(OR(
ISERROR(FIND("  ",Calculate_Business_Metadata[[#This Row],[Business Definition (EN)]], 1))=FALSE,
ISERROR(FIND("__",Calculate_Business_Metadata[[#This Row],[Business Definition (EN)]], 1))=FALSE)=TRUE, 0, 1)</f>
        <v>1</v>
      </c>
      <c r="AF53" s="2">
        <f>IF(OR(
ISERROR(FIND("  ",Calculate_Business_Metadata[[#This Row],[Column Name]], 1))=FALSE,
ISERROR(FIND("__",Calculate_Business_Metadata[[#This Row],[Column Name]], 1))=FALSE)=TRUE, 0, 1)</f>
        <v>1</v>
      </c>
      <c r="AG53" s="2">
        <f>IF(OR(
ISERROR(FIND("  ",Calculate_Business_Metadata[[#This Row],[Business Data Steward]], 1))=FALSE,
ISERROR(FIND("_",Calculate_Business_Metadata[[#This Row],[Business Data Steward]], 1))=FALSE)=TRUE, 0, 1)</f>
        <v>1</v>
      </c>
      <c r="AH53" s="2">
        <f>IF(OR(
ISERROR(FIND("  ",Calculate_Business_Metadata[[#This Row],[Data Owner]], 1))=FALSE,
ISERROR(FIND("_",Calculate_Business_Metadata[[#This Row],[Data Owner]], 1))=FALSE)=TRUE, 0, 1)</f>
        <v>1</v>
      </c>
      <c r="AI53" s="2">
        <f>IF(OR(
ISERROR(FIND("  ",Calculate_Business_Metadata[[#This Row],[Updated By]], 1))=FALSE,
ISERROR(FIND("_",Calculate_Business_Metadata[[#This Row],[Updated By]], 1))=FALSE)=TRUE, 0, 1)</f>
        <v>1</v>
      </c>
      <c r="AK53" s="2">
        <f>IF(OR(ISERROR(FIND("PII",Calculate_Business_Metadata[[#This Row],[PII/Non-PII]], 1))=FALSE, ISERROR(FIND("PII",Calculate_Business_Metadata[[#This Row],[PII/Non-PII]], 1))=FALSE)=TRUE, 1, 0)</f>
        <v>1</v>
      </c>
      <c r="AM53" s="2">
        <f>IF( COUNTIFS(B:B, Calculate_Business_Metadata[[#This Row],[Business Attribute Name]], D:D, Calculate_Business_Metadata[[#This Row],[Column Name]], L:L, Calculate_Business_Metadata[[#This Row],[Subdomain]]) &gt; 1, 0, 1)</f>
        <v>1</v>
      </c>
      <c r="AN53" s="2" t="str">
        <f>LEFT(Calculate_Business_Metadata[[#This Row],[Business Definition (EN)]], 150)</f>
        <v>Marketing employee thai name of Fund Product.</v>
      </c>
      <c r="AO53" s="2">
        <f ca="1">IF( COUNTIFS(AO:AO,AN53, B:B, Calculate_Business_Metadata[[#This Row],[Business Attribute Name]],L:L, Calculate_Business_Metadata[[#This Row],[Subdomain]]) &lt;&gt; 1, 0, 1)</f>
        <v>0</v>
      </c>
      <c r="AP53" s="2">
        <f>IF(COUNTIFS(B:B, Calculate_Business_Metadata[[#This Row],[Business Attribute Name]], D:D, Calculate_Business_Metadata[[#This Row],[Column Name]], AN:AN, AN53) &gt;1, 0, 1)</f>
        <v>1</v>
      </c>
      <c r="AR53" s="2">
        <f>IF(COUNTIFS('Cal_Technical - Column'!D:D, Calculate_Business_Metadata[[#This Row],[Column Name]])&gt; 0, 1, 0)</f>
        <v>1</v>
      </c>
    </row>
    <row r="54" spans="1:44" ht="42" x14ac:dyDescent="0.3">
      <c r="A54" s="74">
        <v>53</v>
      </c>
      <c r="B54" s="74" t="s">
        <v>575</v>
      </c>
      <c r="C54" s="1" t="s">
        <v>576</v>
      </c>
      <c r="D54" s="74" t="s">
        <v>496</v>
      </c>
      <c r="E54" s="74" t="s">
        <v>54</v>
      </c>
      <c r="F54" s="2" t="s">
        <v>47</v>
      </c>
      <c r="G54" s="74" t="s">
        <v>577</v>
      </c>
      <c r="H54" s="74" t="s">
        <v>113</v>
      </c>
      <c r="I54" s="74" t="s">
        <v>114</v>
      </c>
      <c r="J54" s="70">
        <v>45372</v>
      </c>
      <c r="K54" s="74" t="s">
        <v>49</v>
      </c>
      <c r="L54" s="74" t="s">
        <v>519</v>
      </c>
      <c r="N54" s="2">
        <f>IF(ISBLANK(Calculate_Business_Metadata[[#This Row],[Business Attribute Name]])=TRUE, 0, 1)</f>
        <v>1</v>
      </c>
      <c r="O54" s="2">
        <f>IF(ISBLANK(Calculate_Business_Metadata[[#This Row],[Business Definition (EN)]])=TRUE, 0, 1)</f>
        <v>1</v>
      </c>
      <c r="P54" s="2">
        <f>IF(ISBLANK(Calculate_Business_Metadata[[#This Row],[Column Name]])=TRUE, 0, 1)</f>
        <v>1</v>
      </c>
      <c r="Q54" s="2">
        <f>IF(ISBLANK(Calculate_Business_Metadata[[#This Row],[PII/Non-PII]])=TRUE, 0, 1)</f>
        <v>1</v>
      </c>
      <c r="R54" s="2" t="b">
        <f>ISERROR(FIND("-", Calculate_Business_Metadata[[#This Row],[List of Allowable Values]]))</f>
        <v>0</v>
      </c>
      <c r="S54" s="2" t="b">
        <f>ISERROR(FIND("Flag",Calculate_Business_Metadata[[#This Row],[List of Allowable Values]], 1))</f>
        <v>1</v>
      </c>
      <c r="T54" s="2" t="b">
        <f>ISERROR(FIND("In this case, the list of allowable values can be contact",Calculate_Business_Metadata[[#This Row],[List of Allowable Values]], 1))</f>
        <v>1</v>
      </c>
      <c r="U54" s="2" t="b">
        <f>ISERROR(FIND("In this case, the list of allowable values can be found",Calculate_Business_Metadata[[#This Row],[List of Allowable Values]], 1))</f>
        <v>1</v>
      </c>
      <c r="V54" s="2" t="b">
        <f>ISERROR(FIND("list of allowable values",Calculate_Business_Metadata[[#This Row],[List of Allowable Values]], 1))</f>
        <v>1</v>
      </c>
      <c r="W54" s="2">
        <f t="shared" si="1"/>
        <v>1</v>
      </c>
      <c r="X54" s="2">
        <f>IF(ISBLANK(Calculate_Business_Metadata[[#This Row],[Sample Data]])=TRUE, 0, 1)</f>
        <v>1</v>
      </c>
      <c r="Y54" s="2">
        <f>IF(ISBLANK(Calculate_Business_Metadata[[#This Row],[Business Data Steward]])=TRUE, 0, 1)</f>
        <v>1</v>
      </c>
      <c r="Z54" s="2">
        <f>IF(ISBLANK(Calculate_Business_Metadata[[#This Row],[Data Owner]])=TRUE, 0, 1)</f>
        <v>1</v>
      </c>
      <c r="AA54" s="2">
        <f>IF(ISBLANK(Calculate_Business_Metadata[[#This Row],[Updated Date]])=TRUE, 0, 1)</f>
        <v>1</v>
      </c>
      <c r="AB54" s="2">
        <f>IF(ISBLANK(Calculate_Business_Metadata[[#This Row],[Updated By]])=TRUE, 0, 1)</f>
        <v>1</v>
      </c>
      <c r="AD54" s="2">
        <f>IF(OR(
ISERROR(FIND("  ",Calculate_Business_Metadata[[#This Row],[Business Attribute Name]], 1))=FALSE,
ISERROR(FIND("_",Calculate_Business_Metadata[[#This Row],[Business Attribute Name]], 1))=FALSE)=TRUE, 0, 1)</f>
        <v>1</v>
      </c>
      <c r="AE54" s="2">
        <f>IF(OR(
ISERROR(FIND("  ",Calculate_Business_Metadata[[#This Row],[Business Definition (EN)]], 1))=FALSE,
ISERROR(FIND("__",Calculate_Business_Metadata[[#This Row],[Business Definition (EN)]], 1))=FALSE)=TRUE, 0, 1)</f>
        <v>1</v>
      </c>
      <c r="AF54" s="2">
        <f>IF(OR(
ISERROR(FIND("  ",Calculate_Business_Metadata[[#This Row],[Column Name]], 1))=FALSE,
ISERROR(FIND("__",Calculate_Business_Metadata[[#This Row],[Column Name]], 1))=FALSE)=TRUE, 0, 1)</f>
        <v>1</v>
      </c>
      <c r="AG54" s="2">
        <f>IF(OR(
ISERROR(FIND("  ",Calculate_Business_Metadata[[#This Row],[Business Data Steward]], 1))=FALSE,
ISERROR(FIND("_",Calculate_Business_Metadata[[#This Row],[Business Data Steward]], 1))=FALSE)=TRUE, 0, 1)</f>
        <v>1</v>
      </c>
      <c r="AH54" s="2">
        <f>IF(OR(
ISERROR(FIND("  ",Calculate_Business_Metadata[[#This Row],[Data Owner]], 1))=FALSE,
ISERROR(FIND("_",Calculate_Business_Metadata[[#This Row],[Data Owner]], 1))=FALSE)=TRUE, 0, 1)</f>
        <v>1</v>
      </c>
      <c r="AI54" s="2">
        <f>IF(OR(
ISERROR(FIND("  ",Calculate_Business_Metadata[[#This Row],[Updated By]], 1))=FALSE,
ISERROR(FIND("_",Calculate_Business_Metadata[[#This Row],[Updated By]], 1))=FALSE)=TRUE, 0, 1)</f>
        <v>1</v>
      </c>
      <c r="AK54" s="2">
        <f>IF(OR(ISERROR(FIND("PII",Calculate_Business_Metadata[[#This Row],[PII/Non-PII]], 1))=FALSE, ISERROR(FIND("PII",Calculate_Business_Metadata[[#This Row],[PII/Non-PII]], 1))=FALSE)=TRUE, 1, 0)</f>
        <v>1</v>
      </c>
      <c r="AM54" s="2">
        <f>IF( COUNTIFS(B:B, Calculate_Business_Metadata[[#This Row],[Business Attribute Name]], D:D, Calculate_Business_Metadata[[#This Row],[Column Name]], L:L, Calculate_Business_Metadata[[#This Row],[Subdomain]]) &gt; 1, 0, 1)</f>
        <v>1</v>
      </c>
      <c r="AN54" s="2" t="str">
        <f>LEFT(Calculate_Business_Metadata[[#This Row],[Business Definition (EN)]], 150)</f>
        <v>Marketing employee english name of Fund Product.</v>
      </c>
      <c r="AO54" s="2">
        <f ca="1">IF( COUNTIFS(AO:AO,AN54, B:B, Calculate_Business_Metadata[[#This Row],[Business Attribute Name]],L:L, Calculate_Business_Metadata[[#This Row],[Subdomain]]) &lt;&gt; 1, 0, 1)</f>
        <v>0</v>
      </c>
      <c r="AP54" s="2">
        <f>IF(COUNTIFS(B:B, Calculate_Business_Metadata[[#This Row],[Business Attribute Name]], D:D, Calculate_Business_Metadata[[#This Row],[Column Name]], AN:AN, AN54) &gt;1, 0, 1)</f>
        <v>1</v>
      </c>
      <c r="AR54" s="2">
        <f>IF(COUNTIFS('Cal_Technical - Column'!D:D, Calculate_Business_Metadata[[#This Row],[Column Name]])&gt; 0, 1, 0)</f>
        <v>1</v>
      </c>
    </row>
    <row r="55" spans="1:44" ht="28" x14ac:dyDescent="0.3">
      <c r="A55" s="74">
        <v>54</v>
      </c>
      <c r="B55" s="74" t="s">
        <v>578</v>
      </c>
      <c r="C55" s="1" t="s">
        <v>579</v>
      </c>
      <c r="D55" s="74" t="s">
        <v>497</v>
      </c>
      <c r="E55" s="74" t="s">
        <v>43</v>
      </c>
      <c r="F55" s="2" t="s">
        <v>47</v>
      </c>
      <c r="G55" s="74" t="s">
        <v>580</v>
      </c>
      <c r="H55" s="74" t="s">
        <v>113</v>
      </c>
      <c r="I55" s="74" t="s">
        <v>114</v>
      </c>
      <c r="J55" s="70">
        <v>45372</v>
      </c>
      <c r="K55" s="74" t="s">
        <v>49</v>
      </c>
      <c r="L55" s="74" t="s">
        <v>519</v>
      </c>
      <c r="N55" s="2">
        <f>IF(ISBLANK(Calculate_Business_Metadata[[#This Row],[Business Attribute Name]])=TRUE, 0, 1)</f>
        <v>1</v>
      </c>
      <c r="O55" s="2">
        <f>IF(ISBLANK(Calculate_Business_Metadata[[#This Row],[Business Definition (EN)]])=TRUE, 0, 1)</f>
        <v>1</v>
      </c>
      <c r="P55" s="2">
        <f>IF(ISBLANK(Calculate_Business_Metadata[[#This Row],[Column Name]])=TRUE, 0, 1)</f>
        <v>1</v>
      </c>
      <c r="Q55" s="2">
        <f>IF(ISBLANK(Calculate_Business_Metadata[[#This Row],[PII/Non-PII]])=TRUE, 0, 1)</f>
        <v>1</v>
      </c>
      <c r="R55" s="2" t="b">
        <f>ISERROR(FIND("-", Calculate_Business_Metadata[[#This Row],[List of Allowable Values]]))</f>
        <v>0</v>
      </c>
      <c r="S55" s="2" t="b">
        <f>ISERROR(FIND("Flag",Calculate_Business_Metadata[[#This Row],[List of Allowable Values]], 1))</f>
        <v>1</v>
      </c>
      <c r="T55" s="2" t="b">
        <f>ISERROR(FIND("In this case, the list of allowable values can be contact",Calculate_Business_Metadata[[#This Row],[List of Allowable Values]], 1))</f>
        <v>1</v>
      </c>
      <c r="U55" s="2" t="b">
        <f>ISERROR(FIND("In this case, the list of allowable values can be found",Calculate_Business_Metadata[[#This Row],[List of Allowable Values]], 1))</f>
        <v>1</v>
      </c>
      <c r="V55" s="2" t="b">
        <f>ISERROR(FIND("list of allowable values",Calculate_Business_Metadata[[#This Row],[List of Allowable Values]], 1))</f>
        <v>1</v>
      </c>
      <c r="W55" s="2">
        <f t="shared" si="1"/>
        <v>1</v>
      </c>
      <c r="X55" s="2">
        <f>IF(ISBLANK(Calculate_Business_Metadata[[#This Row],[Sample Data]])=TRUE, 0, 1)</f>
        <v>1</v>
      </c>
      <c r="Y55" s="2">
        <f>IF(ISBLANK(Calculate_Business_Metadata[[#This Row],[Business Data Steward]])=TRUE, 0, 1)</f>
        <v>1</v>
      </c>
      <c r="Z55" s="2">
        <f>IF(ISBLANK(Calculate_Business_Metadata[[#This Row],[Data Owner]])=TRUE, 0, 1)</f>
        <v>1</v>
      </c>
      <c r="AA55" s="2">
        <f>IF(ISBLANK(Calculate_Business_Metadata[[#This Row],[Updated Date]])=TRUE, 0, 1)</f>
        <v>1</v>
      </c>
      <c r="AB55" s="2">
        <f>IF(ISBLANK(Calculate_Business_Metadata[[#This Row],[Updated By]])=TRUE, 0, 1)</f>
        <v>1</v>
      </c>
      <c r="AD55" s="2">
        <f>IF(OR(
ISERROR(FIND("  ",Calculate_Business_Metadata[[#This Row],[Business Attribute Name]], 1))=FALSE,
ISERROR(FIND("_",Calculate_Business_Metadata[[#This Row],[Business Attribute Name]], 1))=FALSE)=TRUE, 0, 1)</f>
        <v>1</v>
      </c>
      <c r="AE55" s="2">
        <f>IF(OR(
ISERROR(FIND("  ",Calculate_Business_Metadata[[#This Row],[Business Definition (EN)]], 1))=FALSE,
ISERROR(FIND("__",Calculate_Business_Metadata[[#This Row],[Business Definition (EN)]], 1))=FALSE)=TRUE, 0, 1)</f>
        <v>1</v>
      </c>
      <c r="AF55" s="2">
        <f>IF(OR(
ISERROR(FIND("  ",Calculate_Business_Metadata[[#This Row],[Column Name]], 1))=FALSE,
ISERROR(FIND("__",Calculate_Business_Metadata[[#This Row],[Column Name]], 1))=FALSE)=TRUE, 0, 1)</f>
        <v>1</v>
      </c>
      <c r="AG55" s="2">
        <f>IF(OR(
ISERROR(FIND("  ",Calculate_Business_Metadata[[#This Row],[Business Data Steward]], 1))=FALSE,
ISERROR(FIND("_",Calculate_Business_Metadata[[#This Row],[Business Data Steward]], 1))=FALSE)=TRUE, 0, 1)</f>
        <v>1</v>
      </c>
      <c r="AH55" s="2">
        <f>IF(OR(
ISERROR(FIND("  ",Calculate_Business_Metadata[[#This Row],[Data Owner]], 1))=FALSE,
ISERROR(FIND("_",Calculate_Business_Metadata[[#This Row],[Data Owner]], 1))=FALSE)=TRUE, 0, 1)</f>
        <v>1</v>
      </c>
      <c r="AI55" s="2">
        <f>IF(OR(
ISERROR(FIND("  ",Calculate_Business_Metadata[[#This Row],[Updated By]], 1))=FALSE,
ISERROR(FIND("_",Calculate_Business_Metadata[[#This Row],[Updated By]], 1))=FALSE)=TRUE, 0, 1)</f>
        <v>1</v>
      </c>
      <c r="AK55" s="2">
        <f>IF(OR(ISERROR(FIND("PII",Calculate_Business_Metadata[[#This Row],[PII/Non-PII]], 1))=FALSE, ISERROR(FIND("PII",Calculate_Business_Metadata[[#This Row],[PII/Non-PII]], 1))=FALSE)=TRUE, 1, 0)</f>
        <v>1</v>
      </c>
      <c r="AM55" s="2">
        <f>IF( COUNTIFS(B:B, Calculate_Business_Metadata[[#This Row],[Business Attribute Name]], D:D, Calculate_Business_Metadata[[#This Row],[Column Name]], L:L, Calculate_Business_Metadata[[#This Row],[Subdomain]]) &gt; 1, 0, 1)</f>
        <v>1</v>
      </c>
      <c r="AN55" s="2" t="str">
        <f>LEFT(Calculate_Business_Metadata[[#This Row],[Business Definition (EN)]], 150)</f>
        <v>Marketing identifier code of Fund Product.</v>
      </c>
      <c r="AO55" s="2">
        <f ca="1">IF( COUNTIFS(AO:AO,AN55, B:B, Calculate_Business_Metadata[[#This Row],[Business Attribute Name]],L:L, Calculate_Business_Metadata[[#This Row],[Subdomain]]) &lt;&gt; 1, 0, 1)</f>
        <v>0</v>
      </c>
      <c r="AP55" s="2">
        <f>IF(COUNTIFS(B:B, Calculate_Business_Metadata[[#This Row],[Business Attribute Name]], D:D, Calculate_Business_Metadata[[#This Row],[Column Name]], AN:AN, AN55) &gt;1, 0, 1)</f>
        <v>1</v>
      </c>
      <c r="AR55" s="2">
        <f>IF(COUNTIFS('Cal_Technical - Column'!D:D, Calculate_Business_Metadata[[#This Row],[Column Name]])&gt; 0, 1, 0)</f>
        <v>1</v>
      </c>
    </row>
    <row r="56" spans="1:44" ht="28" x14ac:dyDescent="0.3">
      <c r="A56" s="74">
        <v>55</v>
      </c>
      <c r="B56" s="74" t="s">
        <v>581</v>
      </c>
      <c r="C56" s="1" t="s">
        <v>582</v>
      </c>
      <c r="D56" s="74" t="s">
        <v>498</v>
      </c>
      <c r="E56" s="74" t="s">
        <v>43</v>
      </c>
      <c r="F56" s="2" t="s">
        <v>47</v>
      </c>
      <c r="G56" s="74" t="s">
        <v>583</v>
      </c>
      <c r="H56" s="74" t="s">
        <v>113</v>
      </c>
      <c r="I56" s="74" t="s">
        <v>114</v>
      </c>
      <c r="J56" s="70">
        <v>45372</v>
      </c>
      <c r="K56" s="74" t="s">
        <v>49</v>
      </c>
      <c r="L56" s="74" t="s">
        <v>519</v>
      </c>
      <c r="N56" s="2">
        <f>IF(ISBLANK(Calculate_Business_Metadata[[#This Row],[Business Attribute Name]])=TRUE, 0, 1)</f>
        <v>1</v>
      </c>
      <c r="O56" s="2">
        <f>IF(ISBLANK(Calculate_Business_Metadata[[#This Row],[Business Definition (EN)]])=TRUE, 0, 1)</f>
        <v>1</v>
      </c>
      <c r="P56" s="2">
        <f>IF(ISBLANK(Calculate_Business_Metadata[[#This Row],[Column Name]])=TRUE, 0, 1)</f>
        <v>1</v>
      </c>
      <c r="Q56" s="2">
        <f>IF(ISBLANK(Calculate_Business_Metadata[[#This Row],[PII/Non-PII]])=TRUE, 0, 1)</f>
        <v>1</v>
      </c>
      <c r="R56" s="2" t="b">
        <f>ISERROR(FIND("-", Calculate_Business_Metadata[[#This Row],[List of Allowable Values]]))</f>
        <v>0</v>
      </c>
      <c r="S56" s="2" t="b">
        <f>ISERROR(FIND("Flag",Calculate_Business_Metadata[[#This Row],[List of Allowable Values]], 1))</f>
        <v>1</v>
      </c>
      <c r="T56" s="2" t="b">
        <f>ISERROR(FIND("In this case, the list of allowable values can be contact",Calculate_Business_Metadata[[#This Row],[List of Allowable Values]], 1))</f>
        <v>1</v>
      </c>
      <c r="U56" s="2" t="b">
        <f>ISERROR(FIND("In this case, the list of allowable values can be found",Calculate_Business_Metadata[[#This Row],[List of Allowable Values]], 1))</f>
        <v>1</v>
      </c>
      <c r="V56" s="2" t="b">
        <f>ISERROR(FIND("list of allowable values",Calculate_Business_Metadata[[#This Row],[List of Allowable Values]], 1))</f>
        <v>1</v>
      </c>
      <c r="W56" s="2">
        <f t="shared" si="1"/>
        <v>1</v>
      </c>
      <c r="X56" s="2">
        <f>IF(ISBLANK(Calculate_Business_Metadata[[#This Row],[Sample Data]])=TRUE, 0, 1)</f>
        <v>1</v>
      </c>
      <c r="Y56" s="2">
        <f>IF(ISBLANK(Calculate_Business_Metadata[[#This Row],[Business Data Steward]])=TRUE, 0, 1)</f>
        <v>1</v>
      </c>
      <c r="Z56" s="2">
        <f>IF(ISBLANK(Calculate_Business_Metadata[[#This Row],[Data Owner]])=TRUE, 0, 1)</f>
        <v>1</v>
      </c>
      <c r="AA56" s="2">
        <f>IF(ISBLANK(Calculate_Business_Metadata[[#This Row],[Updated Date]])=TRUE, 0, 1)</f>
        <v>1</v>
      </c>
      <c r="AB56" s="2">
        <f>IF(ISBLANK(Calculate_Business_Metadata[[#This Row],[Updated By]])=TRUE, 0, 1)</f>
        <v>1</v>
      </c>
      <c r="AD56" s="2">
        <f>IF(OR(
ISERROR(FIND("  ",Calculate_Business_Metadata[[#This Row],[Business Attribute Name]], 1))=FALSE,
ISERROR(FIND("_",Calculate_Business_Metadata[[#This Row],[Business Attribute Name]], 1))=FALSE)=TRUE, 0, 1)</f>
        <v>1</v>
      </c>
      <c r="AE56" s="2">
        <f>IF(OR(
ISERROR(FIND("  ",Calculate_Business_Metadata[[#This Row],[Business Definition (EN)]], 1))=FALSE,
ISERROR(FIND("__",Calculate_Business_Metadata[[#This Row],[Business Definition (EN)]], 1))=FALSE)=TRUE, 0, 1)</f>
        <v>1</v>
      </c>
      <c r="AF56" s="2">
        <f>IF(OR(
ISERROR(FIND("  ",Calculate_Business_Metadata[[#This Row],[Column Name]], 1))=FALSE,
ISERROR(FIND("__",Calculate_Business_Metadata[[#This Row],[Column Name]], 1))=FALSE)=TRUE, 0, 1)</f>
        <v>1</v>
      </c>
      <c r="AG56" s="2">
        <f>IF(OR(
ISERROR(FIND("  ",Calculate_Business_Metadata[[#This Row],[Business Data Steward]], 1))=FALSE,
ISERROR(FIND("_",Calculate_Business_Metadata[[#This Row],[Business Data Steward]], 1))=FALSE)=TRUE, 0, 1)</f>
        <v>1</v>
      </c>
      <c r="AH56" s="2">
        <f>IF(OR(
ISERROR(FIND("  ",Calculate_Business_Metadata[[#This Row],[Data Owner]], 1))=FALSE,
ISERROR(FIND("_",Calculate_Business_Metadata[[#This Row],[Data Owner]], 1))=FALSE)=TRUE, 0, 1)</f>
        <v>1</v>
      </c>
      <c r="AI56" s="2">
        <f>IF(OR(
ISERROR(FIND("  ",Calculate_Business_Metadata[[#This Row],[Updated By]], 1))=FALSE,
ISERROR(FIND("_",Calculate_Business_Metadata[[#This Row],[Updated By]], 1))=FALSE)=TRUE, 0, 1)</f>
        <v>1</v>
      </c>
      <c r="AK56" s="2">
        <f>IF(OR(ISERROR(FIND("PII",Calculate_Business_Metadata[[#This Row],[PII/Non-PII]], 1))=FALSE, ISERROR(FIND("PII",Calculate_Business_Metadata[[#This Row],[PII/Non-PII]], 1))=FALSE)=TRUE, 1, 0)</f>
        <v>1</v>
      </c>
      <c r="AM56" s="2">
        <f>IF( COUNTIFS(B:B, Calculate_Business_Metadata[[#This Row],[Business Attribute Name]], D:D, Calculate_Business_Metadata[[#This Row],[Column Name]], L:L, Calculate_Business_Metadata[[#This Row],[Subdomain]]) &gt; 1, 0, 1)</f>
        <v>1</v>
      </c>
      <c r="AN56" s="2" t="str">
        <f>LEFT(Calculate_Business_Metadata[[#This Row],[Business Definition (EN)]], 150)</f>
        <v>Marketing division name of Fund Product.</v>
      </c>
      <c r="AO56" s="2">
        <f ca="1">IF( COUNTIFS(AO:AO,AN56, B:B, Calculate_Business_Metadata[[#This Row],[Business Attribute Name]],L:L, Calculate_Business_Metadata[[#This Row],[Subdomain]]) &lt;&gt; 1, 0, 1)</f>
        <v>0</v>
      </c>
      <c r="AP56" s="2">
        <f>IF(COUNTIFS(B:B, Calculate_Business_Metadata[[#This Row],[Business Attribute Name]], D:D, Calculate_Business_Metadata[[#This Row],[Column Name]], AN:AN, AN56) &gt;1, 0, 1)</f>
        <v>1</v>
      </c>
      <c r="AR56" s="2">
        <f>IF(COUNTIFS('Cal_Technical - Column'!D:D, Calculate_Business_Metadata[[#This Row],[Column Name]])&gt; 0, 1, 0)</f>
        <v>1</v>
      </c>
    </row>
    <row r="57" spans="1:44" ht="28" x14ac:dyDescent="0.3">
      <c r="A57" s="74">
        <v>56</v>
      </c>
      <c r="B57" s="74" t="s">
        <v>584</v>
      </c>
      <c r="C57" s="1" t="s">
        <v>585</v>
      </c>
      <c r="D57" s="74" t="s">
        <v>500</v>
      </c>
      <c r="E57" s="74" t="s">
        <v>54</v>
      </c>
      <c r="F57" s="2" t="s">
        <v>47</v>
      </c>
      <c r="G57" s="74" t="s">
        <v>586</v>
      </c>
      <c r="H57" s="74" t="s">
        <v>113</v>
      </c>
      <c r="I57" s="74" t="s">
        <v>114</v>
      </c>
      <c r="J57" s="70">
        <v>45372</v>
      </c>
      <c r="K57" s="74" t="s">
        <v>49</v>
      </c>
      <c r="L57" s="74" t="s">
        <v>519</v>
      </c>
      <c r="N57" s="2">
        <f>IF(ISBLANK(Calculate_Business_Metadata[[#This Row],[Business Attribute Name]])=TRUE, 0, 1)</f>
        <v>1</v>
      </c>
      <c r="O57" s="2">
        <f>IF(ISBLANK(Calculate_Business_Metadata[[#This Row],[Business Definition (EN)]])=TRUE, 0, 1)</f>
        <v>1</v>
      </c>
      <c r="P57" s="2">
        <f>IF(ISBLANK(Calculate_Business_Metadata[[#This Row],[Column Name]])=TRUE, 0, 1)</f>
        <v>1</v>
      </c>
      <c r="Q57" s="2">
        <f>IF(ISBLANK(Calculate_Business_Metadata[[#This Row],[PII/Non-PII]])=TRUE, 0, 1)</f>
        <v>1</v>
      </c>
      <c r="R57" s="2" t="b">
        <f>ISERROR(FIND("-", Calculate_Business_Metadata[[#This Row],[List of Allowable Values]]))</f>
        <v>0</v>
      </c>
      <c r="S57" s="2" t="b">
        <f>ISERROR(FIND("Flag",Calculate_Business_Metadata[[#This Row],[List of Allowable Values]], 1))</f>
        <v>1</v>
      </c>
      <c r="T57" s="2" t="b">
        <f>ISERROR(FIND("In this case, the list of allowable values can be contact",Calculate_Business_Metadata[[#This Row],[List of Allowable Values]], 1))</f>
        <v>1</v>
      </c>
      <c r="U57" s="2" t="b">
        <f>ISERROR(FIND("In this case, the list of allowable values can be found",Calculate_Business_Metadata[[#This Row],[List of Allowable Values]], 1))</f>
        <v>1</v>
      </c>
      <c r="V57" s="2" t="b">
        <f>ISERROR(FIND("list of allowable values",Calculate_Business_Metadata[[#This Row],[List of Allowable Values]], 1))</f>
        <v>1</v>
      </c>
      <c r="W57" s="2">
        <f t="shared" si="1"/>
        <v>1</v>
      </c>
      <c r="X57" s="2">
        <f>IF(ISBLANK(Calculate_Business_Metadata[[#This Row],[Sample Data]])=TRUE, 0, 1)</f>
        <v>1</v>
      </c>
      <c r="Y57" s="2">
        <f>IF(ISBLANK(Calculate_Business_Metadata[[#This Row],[Business Data Steward]])=TRUE, 0, 1)</f>
        <v>1</v>
      </c>
      <c r="Z57" s="2">
        <f>IF(ISBLANK(Calculate_Business_Metadata[[#This Row],[Data Owner]])=TRUE, 0, 1)</f>
        <v>1</v>
      </c>
      <c r="AA57" s="2">
        <f>IF(ISBLANK(Calculate_Business_Metadata[[#This Row],[Updated Date]])=TRUE, 0, 1)</f>
        <v>1</v>
      </c>
      <c r="AB57" s="2">
        <f>IF(ISBLANK(Calculate_Business_Metadata[[#This Row],[Updated By]])=TRUE, 0, 1)</f>
        <v>1</v>
      </c>
      <c r="AD57" s="2">
        <f>IF(OR(
ISERROR(FIND("  ",Calculate_Business_Metadata[[#This Row],[Business Attribute Name]], 1))=FALSE,
ISERROR(FIND("_",Calculate_Business_Metadata[[#This Row],[Business Attribute Name]], 1))=FALSE)=TRUE, 0, 1)</f>
        <v>1</v>
      </c>
      <c r="AE57" s="2">
        <f>IF(OR(
ISERROR(FIND("  ",Calculate_Business_Metadata[[#This Row],[Business Definition (EN)]], 1))=FALSE,
ISERROR(FIND("__",Calculate_Business_Metadata[[#This Row],[Business Definition (EN)]], 1))=FALSE)=TRUE, 0, 1)</f>
        <v>1</v>
      </c>
      <c r="AF57" s="2">
        <f>IF(OR(
ISERROR(FIND("  ",Calculate_Business_Metadata[[#This Row],[Column Name]], 1))=FALSE,
ISERROR(FIND("__",Calculate_Business_Metadata[[#This Row],[Column Name]], 1))=FALSE)=TRUE, 0, 1)</f>
        <v>1</v>
      </c>
      <c r="AG57" s="2">
        <f>IF(OR(
ISERROR(FIND("  ",Calculate_Business_Metadata[[#This Row],[Business Data Steward]], 1))=FALSE,
ISERROR(FIND("_",Calculate_Business_Metadata[[#This Row],[Business Data Steward]], 1))=FALSE)=TRUE, 0, 1)</f>
        <v>1</v>
      </c>
      <c r="AH57" s="2">
        <f>IF(OR(
ISERROR(FIND("  ",Calculate_Business_Metadata[[#This Row],[Data Owner]], 1))=FALSE,
ISERROR(FIND("_",Calculate_Business_Metadata[[#This Row],[Data Owner]], 1))=FALSE)=TRUE, 0, 1)</f>
        <v>1</v>
      </c>
      <c r="AI57" s="2">
        <f>IF(OR(
ISERROR(FIND("  ",Calculate_Business_Metadata[[#This Row],[Updated By]], 1))=FALSE,
ISERROR(FIND("_",Calculate_Business_Metadata[[#This Row],[Updated By]], 1))=FALSE)=TRUE, 0, 1)</f>
        <v>1</v>
      </c>
      <c r="AK57" s="2">
        <f>IF(OR(ISERROR(FIND("PII",Calculate_Business_Metadata[[#This Row],[PII/Non-PII]], 1))=FALSE, ISERROR(FIND("PII",Calculate_Business_Metadata[[#This Row],[PII/Non-PII]], 1))=FALSE)=TRUE, 1, 0)</f>
        <v>1</v>
      </c>
      <c r="AM57" s="2">
        <f>IF( COUNTIFS(B:B, Calculate_Business_Metadata[[#This Row],[Business Attribute Name]], D:D, Calculate_Business_Metadata[[#This Row],[Column Name]], L:L, Calculate_Business_Metadata[[#This Row],[Subdomain]]) &gt; 1, 0, 1)</f>
        <v>1</v>
      </c>
      <c r="AN57" s="2" t="str">
        <f>LEFT(Calculate_Business_Metadata[[#This Row],[Business Definition (EN)]], 150)</f>
        <v>Marketing employee code of Bond Product.</v>
      </c>
      <c r="AO57" s="2">
        <f ca="1">IF( COUNTIFS(AO:AO,AN57, B:B, Calculate_Business_Metadata[[#This Row],[Business Attribute Name]],L:L, Calculate_Business_Metadata[[#This Row],[Subdomain]]) &lt;&gt; 1, 0, 1)</f>
        <v>0</v>
      </c>
      <c r="AP57" s="2">
        <f>IF(COUNTIFS(B:B, Calculate_Business_Metadata[[#This Row],[Business Attribute Name]], D:D, Calculate_Business_Metadata[[#This Row],[Column Name]], AN:AN, AN57) &gt;1, 0, 1)</f>
        <v>1</v>
      </c>
      <c r="AR57" s="2">
        <f>IF(COUNTIFS('Cal_Technical - Column'!D:D, Calculate_Business_Metadata[[#This Row],[Column Name]])&gt; 0, 1, 0)</f>
        <v>1</v>
      </c>
    </row>
    <row r="58" spans="1:44" ht="42" x14ac:dyDescent="0.3">
      <c r="A58" s="74">
        <v>57</v>
      </c>
      <c r="B58" s="74" t="s">
        <v>587</v>
      </c>
      <c r="C58" s="1" t="s">
        <v>588</v>
      </c>
      <c r="D58" s="74" t="s">
        <v>501</v>
      </c>
      <c r="E58" s="74" t="s">
        <v>54</v>
      </c>
      <c r="F58" s="2" t="s">
        <v>47</v>
      </c>
      <c r="G58" s="74" t="s">
        <v>589</v>
      </c>
      <c r="H58" s="74" t="s">
        <v>113</v>
      </c>
      <c r="I58" s="74" t="s">
        <v>114</v>
      </c>
      <c r="J58" s="70">
        <v>45372</v>
      </c>
      <c r="K58" s="74" t="s">
        <v>49</v>
      </c>
      <c r="L58" s="74" t="s">
        <v>519</v>
      </c>
      <c r="N58" s="2">
        <f>IF(ISBLANK(Calculate_Business_Metadata[[#This Row],[Business Attribute Name]])=TRUE, 0, 1)</f>
        <v>1</v>
      </c>
      <c r="O58" s="2">
        <f>IF(ISBLANK(Calculate_Business_Metadata[[#This Row],[Business Definition (EN)]])=TRUE, 0, 1)</f>
        <v>1</v>
      </c>
      <c r="P58" s="2">
        <f>IF(ISBLANK(Calculate_Business_Metadata[[#This Row],[Column Name]])=TRUE, 0, 1)</f>
        <v>1</v>
      </c>
      <c r="Q58" s="2">
        <f>IF(ISBLANK(Calculate_Business_Metadata[[#This Row],[PII/Non-PII]])=TRUE, 0, 1)</f>
        <v>1</v>
      </c>
      <c r="R58" s="2" t="b">
        <f>ISERROR(FIND("-", Calculate_Business_Metadata[[#This Row],[List of Allowable Values]]))</f>
        <v>0</v>
      </c>
      <c r="S58" s="2" t="b">
        <f>ISERROR(FIND("Flag",Calculate_Business_Metadata[[#This Row],[List of Allowable Values]], 1))</f>
        <v>1</v>
      </c>
      <c r="T58" s="2" t="b">
        <f>ISERROR(FIND("In this case, the list of allowable values can be contact",Calculate_Business_Metadata[[#This Row],[List of Allowable Values]], 1))</f>
        <v>1</v>
      </c>
      <c r="U58" s="2" t="b">
        <f>ISERROR(FIND("In this case, the list of allowable values can be found",Calculate_Business_Metadata[[#This Row],[List of Allowable Values]], 1))</f>
        <v>1</v>
      </c>
      <c r="V58" s="2" t="b">
        <f>ISERROR(FIND("list of allowable values",Calculate_Business_Metadata[[#This Row],[List of Allowable Values]], 1))</f>
        <v>1</v>
      </c>
      <c r="W58" s="2">
        <f t="shared" si="1"/>
        <v>1</v>
      </c>
      <c r="X58" s="2">
        <f>IF(ISBLANK(Calculate_Business_Metadata[[#This Row],[Sample Data]])=TRUE, 0, 1)</f>
        <v>1</v>
      </c>
      <c r="Y58" s="2">
        <f>IF(ISBLANK(Calculate_Business_Metadata[[#This Row],[Business Data Steward]])=TRUE, 0, 1)</f>
        <v>1</v>
      </c>
      <c r="Z58" s="2">
        <f>IF(ISBLANK(Calculate_Business_Metadata[[#This Row],[Data Owner]])=TRUE, 0, 1)</f>
        <v>1</v>
      </c>
      <c r="AA58" s="2">
        <f>IF(ISBLANK(Calculate_Business_Metadata[[#This Row],[Updated Date]])=TRUE, 0, 1)</f>
        <v>1</v>
      </c>
      <c r="AB58" s="2">
        <f>IF(ISBLANK(Calculate_Business_Metadata[[#This Row],[Updated By]])=TRUE, 0, 1)</f>
        <v>1</v>
      </c>
      <c r="AD58" s="2">
        <f>IF(OR(
ISERROR(FIND("  ",Calculate_Business_Metadata[[#This Row],[Business Attribute Name]], 1))=FALSE,
ISERROR(FIND("_",Calculate_Business_Metadata[[#This Row],[Business Attribute Name]], 1))=FALSE)=TRUE, 0, 1)</f>
        <v>1</v>
      </c>
      <c r="AE58" s="2">
        <f>IF(OR(
ISERROR(FIND("  ",Calculate_Business_Metadata[[#This Row],[Business Definition (EN)]], 1))=FALSE,
ISERROR(FIND("__",Calculate_Business_Metadata[[#This Row],[Business Definition (EN)]], 1))=FALSE)=TRUE, 0, 1)</f>
        <v>1</v>
      </c>
      <c r="AF58" s="2">
        <f>IF(OR(
ISERROR(FIND("  ",Calculate_Business_Metadata[[#This Row],[Column Name]], 1))=FALSE,
ISERROR(FIND("__",Calculate_Business_Metadata[[#This Row],[Column Name]], 1))=FALSE)=TRUE, 0, 1)</f>
        <v>1</v>
      </c>
      <c r="AG58" s="2">
        <f>IF(OR(
ISERROR(FIND("  ",Calculate_Business_Metadata[[#This Row],[Business Data Steward]], 1))=FALSE,
ISERROR(FIND("_",Calculate_Business_Metadata[[#This Row],[Business Data Steward]], 1))=FALSE)=TRUE, 0, 1)</f>
        <v>1</v>
      </c>
      <c r="AH58" s="2">
        <f>IF(OR(
ISERROR(FIND("  ",Calculate_Business_Metadata[[#This Row],[Data Owner]], 1))=FALSE,
ISERROR(FIND("_",Calculate_Business_Metadata[[#This Row],[Data Owner]], 1))=FALSE)=TRUE, 0, 1)</f>
        <v>1</v>
      </c>
      <c r="AI58" s="2">
        <f>IF(OR(
ISERROR(FIND("  ",Calculate_Business_Metadata[[#This Row],[Updated By]], 1))=FALSE,
ISERROR(FIND("_",Calculate_Business_Metadata[[#This Row],[Updated By]], 1))=FALSE)=TRUE, 0, 1)</f>
        <v>1</v>
      </c>
      <c r="AK58" s="2">
        <f>IF(OR(ISERROR(FIND("PII",Calculate_Business_Metadata[[#This Row],[PII/Non-PII]], 1))=FALSE, ISERROR(FIND("PII",Calculate_Business_Metadata[[#This Row],[PII/Non-PII]], 1))=FALSE)=TRUE, 1, 0)</f>
        <v>1</v>
      </c>
      <c r="AM58" s="2">
        <f>IF( COUNTIFS(B:B, Calculate_Business_Metadata[[#This Row],[Business Attribute Name]], D:D, Calculate_Business_Metadata[[#This Row],[Column Name]], L:L, Calculate_Business_Metadata[[#This Row],[Subdomain]]) &gt; 1, 0, 1)</f>
        <v>1</v>
      </c>
      <c r="AN58" s="2" t="str">
        <f>LEFT(Calculate_Business_Metadata[[#This Row],[Business Definition (EN)]], 150)</f>
        <v>Marketing employee thai name of Bond Product.</v>
      </c>
      <c r="AO58" s="2">
        <f ca="1">IF( COUNTIFS(AO:AO,AN58, B:B, Calculate_Business_Metadata[[#This Row],[Business Attribute Name]],L:L, Calculate_Business_Metadata[[#This Row],[Subdomain]]) &lt;&gt; 1, 0, 1)</f>
        <v>0</v>
      </c>
      <c r="AP58" s="2">
        <f>IF(COUNTIFS(B:B, Calculate_Business_Metadata[[#This Row],[Business Attribute Name]], D:D, Calculate_Business_Metadata[[#This Row],[Column Name]], AN:AN, AN58) &gt;1, 0, 1)</f>
        <v>1</v>
      </c>
      <c r="AR58" s="2">
        <f>IF(COUNTIFS('Cal_Technical - Column'!D:D, Calculate_Business_Metadata[[#This Row],[Column Name]])&gt; 0, 1, 0)</f>
        <v>1</v>
      </c>
    </row>
    <row r="59" spans="1:44" ht="42" x14ac:dyDescent="0.3">
      <c r="A59" s="74">
        <v>58</v>
      </c>
      <c r="B59" s="74" t="s">
        <v>590</v>
      </c>
      <c r="C59" s="1" t="s">
        <v>591</v>
      </c>
      <c r="D59" s="74" t="s">
        <v>502</v>
      </c>
      <c r="E59" s="74" t="s">
        <v>54</v>
      </c>
      <c r="F59" s="2" t="s">
        <v>47</v>
      </c>
      <c r="G59" s="74" t="s">
        <v>592</v>
      </c>
      <c r="H59" s="74" t="s">
        <v>113</v>
      </c>
      <c r="I59" s="74" t="s">
        <v>114</v>
      </c>
      <c r="J59" s="70">
        <v>45372</v>
      </c>
      <c r="K59" s="74" t="s">
        <v>49</v>
      </c>
      <c r="L59" s="74" t="s">
        <v>519</v>
      </c>
      <c r="N59" s="2">
        <f>IF(ISBLANK(Calculate_Business_Metadata[[#This Row],[Business Attribute Name]])=TRUE, 0, 1)</f>
        <v>1</v>
      </c>
      <c r="O59" s="2">
        <f>IF(ISBLANK(Calculate_Business_Metadata[[#This Row],[Business Definition (EN)]])=TRUE, 0, 1)</f>
        <v>1</v>
      </c>
      <c r="P59" s="2">
        <f>IF(ISBLANK(Calculate_Business_Metadata[[#This Row],[Column Name]])=TRUE, 0, 1)</f>
        <v>1</v>
      </c>
      <c r="Q59" s="2">
        <f>IF(ISBLANK(Calculate_Business_Metadata[[#This Row],[PII/Non-PII]])=TRUE, 0, 1)</f>
        <v>1</v>
      </c>
      <c r="R59" s="2" t="b">
        <f>ISERROR(FIND("-", Calculate_Business_Metadata[[#This Row],[List of Allowable Values]]))</f>
        <v>0</v>
      </c>
      <c r="S59" s="2" t="b">
        <f>ISERROR(FIND("Flag",Calculate_Business_Metadata[[#This Row],[List of Allowable Values]], 1))</f>
        <v>1</v>
      </c>
      <c r="T59" s="2" t="b">
        <f>ISERROR(FIND("In this case, the list of allowable values can be contact",Calculate_Business_Metadata[[#This Row],[List of Allowable Values]], 1))</f>
        <v>1</v>
      </c>
      <c r="U59" s="2" t="b">
        <f>ISERROR(FIND("In this case, the list of allowable values can be found",Calculate_Business_Metadata[[#This Row],[List of Allowable Values]], 1))</f>
        <v>1</v>
      </c>
      <c r="V59" s="2" t="b">
        <f>ISERROR(FIND("list of allowable values",Calculate_Business_Metadata[[#This Row],[List of Allowable Values]], 1))</f>
        <v>1</v>
      </c>
      <c r="W59" s="2">
        <f t="shared" si="1"/>
        <v>1</v>
      </c>
      <c r="X59" s="2">
        <f>IF(ISBLANK(Calculate_Business_Metadata[[#This Row],[Sample Data]])=TRUE, 0, 1)</f>
        <v>1</v>
      </c>
      <c r="Y59" s="2">
        <f>IF(ISBLANK(Calculate_Business_Metadata[[#This Row],[Business Data Steward]])=TRUE, 0, 1)</f>
        <v>1</v>
      </c>
      <c r="Z59" s="2">
        <f>IF(ISBLANK(Calculate_Business_Metadata[[#This Row],[Data Owner]])=TRUE, 0, 1)</f>
        <v>1</v>
      </c>
      <c r="AA59" s="2">
        <f>IF(ISBLANK(Calculate_Business_Metadata[[#This Row],[Updated Date]])=TRUE, 0, 1)</f>
        <v>1</v>
      </c>
      <c r="AB59" s="2">
        <f>IF(ISBLANK(Calculate_Business_Metadata[[#This Row],[Updated By]])=TRUE, 0, 1)</f>
        <v>1</v>
      </c>
      <c r="AD59" s="2">
        <f>IF(OR(
ISERROR(FIND("  ",Calculate_Business_Metadata[[#This Row],[Business Attribute Name]], 1))=FALSE,
ISERROR(FIND("_",Calculate_Business_Metadata[[#This Row],[Business Attribute Name]], 1))=FALSE)=TRUE, 0, 1)</f>
        <v>1</v>
      </c>
      <c r="AE59" s="2">
        <f>IF(OR(
ISERROR(FIND("  ",Calculate_Business_Metadata[[#This Row],[Business Definition (EN)]], 1))=FALSE,
ISERROR(FIND("__",Calculate_Business_Metadata[[#This Row],[Business Definition (EN)]], 1))=FALSE)=TRUE, 0, 1)</f>
        <v>1</v>
      </c>
      <c r="AF59" s="2">
        <f>IF(OR(
ISERROR(FIND("  ",Calculate_Business_Metadata[[#This Row],[Column Name]], 1))=FALSE,
ISERROR(FIND("__",Calculate_Business_Metadata[[#This Row],[Column Name]], 1))=FALSE)=TRUE, 0, 1)</f>
        <v>1</v>
      </c>
      <c r="AG59" s="2">
        <f>IF(OR(
ISERROR(FIND("  ",Calculate_Business_Metadata[[#This Row],[Business Data Steward]], 1))=FALSE,
ISERROR(FIND("_",Calculate_Business_Metadata[[#This Row],[Business Data Steward]], 1))=FALSE)=TRUE, 0, 1)</f>
        <v>1</v>
      </c>
      <c r="AH59" s="2">
        <f>IF(OR(
ISERROR(FIND("  ",Calculate_Business_Metadata[[#This Row],[Data Owner]], 1))=FALSE,
ISERROR(FIND("_",Calculate_Business_Metadata[[#This Row],[Data Owner]], 1))=FALSE)=TRUE, 0, 1)</f>
        <v>1</v>
      </c>
      <c r="AI59" s="2">
        <f>IF(OR(
ISERROR(FIND("  ",Calculate_Business_Metadata[[#This Row],[Updated By]], 1))=FALSE,
ISERROR(FIND("_",Calculate_Business_Metadata[[#This Row],[Updated By]], 1))=FALSE)=TRUE, 0, 1)</f>
        <v>1</v>
      </c>
      <c r="AK59" s="2">
        <f>IF(OR(ISERROR(FIND("PII",Calculate_Business_Metadata[[#This Row],[PII/Non-PII]], 1))=FALSE, ISERROR(FIND("PII",Calculate_Business_Metadata[[#This Row],[PII/Non-PII]], 1))=FALSE)=TRUE, 1, 0)</f>
        <v>1</v>
      </c>
      <c r="AM59" s="2">
        <f>IF( COUNTIFS(B:B, Calculate_Business_Metadata[[#This Row],[Business Attribute Name]], D:D, Calculate_Business_Metadata[[#This Row],[Column Name]], L:L, Calculate_Business_Metadata[[#This Row],[Subdomain]]) &gt; 1, 0, 1)</f>
        <v>1</v>
      </c>
      <c r="AN59" s="2" t="str">
        <f>LEFT(Calculate_Business_Metadata[[#This Row],[Business Definition (EN)]], 150)</f>
        <v>Marketing employee english name of Bond Product.</v>
      </c>
      <c r="AO59" s="2">
        <f ca="1">IF( COUNTIFS(AO:AO,AN59, B:B, Calculate_Business_Metadata[[#This Row],[Business Attribute Name]],L:L, Calculate_Business_Metadata[[#This Row],[Subdomain]]) &lt;&gt; 1, 0, 1)</f>
        <v>0</v>
      </c>
      <c r="AP59" s="2">
        <f>IF(COUNTIFS(B:B, Calculate_Business_Metadata[[#This Row],[Business Attribute Name]], D:D, Calculate_Business_Metadata[[#This Row],[Column Name]], AN:AN, AN59) &gt;1, 0, 1)</f>
        <v>1</v>
      </c>
      <c r="AR59" s="2">
        <f>IF(COUNTIFS('Cal_Technical - Column'!D:D, Calculate_Business_Metadata[[#This Row],[Column Name]])&gt; 0, 1, 0)</f>
        <v>1</v>
      </c>
    </row>
    <row r="60" spans="1:44" ht="28" x14ac:dyDescent="0.3">
      <c r="A60" s="74">
        <v>59</v>
      </c>
      <c r="B60" s="74" t="s">
        <v>593</v>
      </c>
      <c r="C60" s="1" t="s">
        <v>594</v>
      </c>
      <c r="D60" s="74" t="s">
        <v>503</v>
      </c>
      <c r="E60" s="74" t="s">
        <v>43</v>
      </c>
      <c r="F60" s="2" t="s">
        <v>47</v>
      </c>
      <c r="G60" s="74" t="s">
        <v>595</v>
      </c>
      <c r="H60" s="74" t="s">
        <v>113</v>
      </c>
      <c r="I60" s="74" t="s">
        <v>114</v>
      </c>
      <c r="J60" s="70">
        <v>45372</v>
      </c>
      <c r="K60" s="74" t="s">
        <v>49</v>
      </c>
      <c r="L60" s="74" t="s">
        <v>519</v>
      </c>
      <c r="N60" s="2">
        <f>IF(ISBLANK(Calculate_Business_Metadata[[#This Row],[Business Attribute Name]])=TRUE, 0, 1)</f>
        <v>1</v>
      </c>
      <c r="O60" s="2">
        <f>IF(ISBLANK(Calculate_Business_Metadata[[#This Row],[Business Definition (EN)]])=TRUE, 0, 1)</f>
        <v>1</v>
      </c>
      <c r="P60" s="2">
        <f>IF(ISBLANK(Calculate_Business_Metadata[[#This Row],[Column Name]])=TRUE, 0, 1)</f>
        <v>1</v>
      </c>
      <c r="Q60" s="2">
        <f>IF(ISBLANK(Calculate_Business_Metadata[[#This Row],[PII/Non-PII]])=TRUE, 0, 1)</f>
        <v>1</v>
      </c>
      <c r="R60" s="2" t="b">
        <f>ISERROR(FIND("-", Calculate_Business_Metadata[[#This Row],[List of Allowable Values]]))</f>
        <v>0</v>
      </c>
      <c r="S60" s="2" t="b">
        <f>ISERROR(FIND("Flag",Calculate_Business_Metadata[[#This Row],[List of Allowable Values]], 1))</f>
        <v>1</v>
      </c>
      <c r="T60" s="2" t="b">
        <f>ISERROR(FIND("In this case, the list of allowable values can be contact",Calculate_Business_Metadata[[#This Row],[List of Allowable Values]], 1))</f>
        <v>1</v>
      </c>
      <c r="U60" s="2" t="b">
        <f>ISERROR(FIND("In this case, the list of allowable values can be found",Calculate_Business_Metadata[[#This Row],[List of Allowable Values]], 1))</f>
        <v>1</v>
      </c>
      <c r="V60" s="2" t="b">
        <f>ISERROR(FIND("list of allowable values",Calculate_Business_Metadata[[#This Row],[List of Allowable Values]], 1))</f>
        <v>1</v>
      </c>
      <c r="W60" s="2">
        <f t="shared" si="1"/>
        <v>1</v>
      </c>
      <c r="X60" s="2">
        <f>IF(ISBLANK(Calculate_Business_Metadata[[#This Row],[Sample Data]])=TRUE, 0, 1)</f>
        <v>1</v>
      </c>
      <c r="Y60" s="2">
        <f>IF(ISBLANK(Calculate_Business_Metadata[[#This Row],[Business Data Steward]])=TRUE, 0, 1)</f>
        <v>1</v>
      </c>
      <c r="Z60" s="2">
        <f>IF(ISBLANK(Calculate_Business_Metadata[[#This Row],[Data Owner]])=TRUE, 0, 1)</f>
        <v>1</v>
      </c>
      <c r="AA60" s="2">
        <f>IF(ISBLANK(Calculate_Business_Metadata[[#This Row],[Updated Date]])=TRUE, 0, 1)</f>
        <v>1</v>
      </c>
      <c r="AB60" s="2">
        <f>IF(ISBLANK(Calculate_Business_Metadata[[#This Row],[Updated By]])=TRUE, 0, 1)</f>
        <v>1</v>
      </c>
      <c r="AD60" s="2">
        <f>IF(OR(
ISERROR(FIND("  ",Calculate_Business_Metadata[[#This Row],[Business Attribute Name]], 1))=FALSE,
ISERROR(FIND("_",Calculate_Business_Metadata[[#This Row],[Business Attribute Name]], 1))=FALSE)=TRUE, 0, 1)</f>
        <v>1</v>
      </c>
      <c r="AE60" s="2">
        <f>IF(OR(
ISERROR(FIND("  ",Calculate_Business_Metadata[[#This Row],[Business Definition (EN)]], 1))=FALSE,
ISERROR(FIND("__",Calculate_Business_Metadata[[#This Row],[Business Definition (EN)]], 1))=FALSE)=TRUE, 0, 1)</f>
        <v>1</v>
      </c>
      <c r="AF60" s="2">
        <f>IF(OR(
ISERROR(FIND("  ",Calculate_Business_Metadata[[#This Row],[Column Name]], 1))=FALSE,
ISERROR(FIND("__",Calculate_Business_Metadata[[#This Row],[Column Name]], 1))=FALSE)=TRUE, 0, 1)</f>
        <v>1</v>
      </c>
      <c r="AG60" s="2">
        <f>IF(OR(
ISERROR(FIND("  ",Calculate_Business_Metadata[[#This Row],[Business Data Steward]], 1))=FALSE,
ISERROR(FIND("_",Calculate_Business_Metadata[[#This Row],[Business Data Steward]], 1))=FALSE)=TRUE, 0, 1)</f>
        <v>1</v>
      </c>
      <c r="AH60" s="2">
        <f>IF(OR(
ISERROR(FIND("  ",Calculate_Business_Metadata[[#This Row],[Data Owner]], 1))=FALSE,
ISERROR(FIND("_",Calculate_Business_Metadata[[#This Row],[Data Owner]], 1))=FALSE)=TRUE, 0, 1)</f>
        <v>1</v>
      </c>
      <c r="AI60" s="2">
        <f>IF(OR(
ISERROR(FIND("  ",Calculate_Business_Metadata[[#This Row],[Updated By]], 1))=FALSE,
ISERROR(FIND("_",Calculate_Business_Metadata[[#This Row],[Updated By]], 1))=FALSE)=TRUE, 0, 1)</f>
        <v>1</v>
      </c>
      <c r="AK60" s="2">
        <f>IF(OR(ISERROR(FIND("PII",Calculate_Business_Metadata[[#This Row],[PII/Non-PII]], 1))=FALSE, ISERROR(FIND("PII",Calculate_Business_Metadata[[#This Row],[PII/Non-PII]], 1))=FALSE)=TRUE, 1, 0)</f>
        <v>1</v>
      </c>
      <c r="AM60" s="2">
        <f>IF( COUNTIFS(B:B, Calculate_Business_Metadata[[#This Row],[Business Attribute Name]], D:D, Calculate_Business_Metadata[[#This Row],[Column Name]], L:L, Calculate_Business_Metadata[[#This Row],[Subdomain]]) &gt; 1, 0, 1)</f>
        <v>1</v>
      </c>
      <c r="AN60" s="2" t="str">
        <f>LEFT(Calculate_Business_Metadata[[#This Row],[Business Definition (EN)]], 150)</f>
        <v>Marketing identifier code of Bond Product.</v>
      </c>
      <c r="AO60" s="2">
        <f ca="1">IF( COUNTIFS(AO:AO,AN60, B:B, Calculate_Business_Metadata[[#This Row],[Business Attribute Name]],L:L, Calculate_Business_Metadata[[#This Row],[Subdomain]]) &lt;&gt; 1, 0, 1)</f>
        <v>0</v>
      </c>
      <c r="AP60" s="2">
        <f>IF(COUNTIFS(B:B, Calculate_Business_Metadata[[#This Row],[Business Attribute Name]], D:D, Calculate_Business_Metadata[[#This Row],[Column Name]], AN:AN, AN60) &gt;1, 0, 1)</f>
        <v>1</v>
      </c>
      <c r="AR60" s="2">
        <f>IF(COUNTIFS('Cal_Technical - Column'!D:D, Calculate_Business_Metadata[[#This Row],[Column Name]])&gt; 0, 1, 0)</f>
        <v>1</v>
      </c>
    </row>
    <row r="61" spans="1:44" ht="28" x14ac:dyDescent="0.3">
      <c r="A61" s="74">
        <v>60</v>
      </c>
      <c r="B61" s="74" t="s">
        <v>596</v>
      </c>
      <c r="C61" s="1" t="s">
        <v>597</v>
      </c>
      <c r="D61" s="74" t="s">
        <v>504</v>
      </c>
      <c r="E61" s="74" t="s">
        <v>43</v>
      </c>
      <c r="F61" s="2" t="s">
        <v>47</v>
      </c>
      <c r="G61" s="74" t="s">
        <v>598</v>
      </c>
      <c r="H61" s="74" t="s">
        <v>113</v>
      </c>
      <c r="I61" s="74" t="s">
        <v>114</v>
      </c>
      <c r="J61" s="70">
        <v>45372</v>
      </c>
      <c r="K61" s="74" t="s">
        <v>49</v>
      </c>
      <c r="L61" s="74" t="s">
        <v>519</v>
      </c>
      <c r="N61" s="2">
        <f>IF(ISBLANK(Calculate_Business_Metadata[[#This Row],[Business Attribute Name]])=TRUE, 0, 1)</f>
        <v>1</v>
      </c>
      <c r="O61" s="2">
        <f>IF(ISBLANK(Calculate_Business_Metadata[[#This Row],[Business Definition (EN)]])=TRUE, 0, 1)</f>
        <v>1</v>
      </c>
      <c r="P61" s="2">
        <f>IF(ISBLANK(Calculate_Business_Metadata[[#This Row],[Column Name]])=TRUE, 0, 1)</f>
        <v>1</v>
      </c>
      <c r="Q61" s="2">
        <f>IF(ISBLANK(Calculate_Business_Metadata[[#This Row],[PII/Non-PII]])=TRUE, 0, 1)</f>
        <v>1</v>
      </c>
      <c r="R61" s="2" t="b">
        <f>ISERROR(FIND("-", Calculate_Business_Metadata[[#This Row],[List of Allowable Values]]))</f>
        <v>0</v>
      </c>
      <c r="S61" s="2" t="b">
        <f>ISERROR(FIND("Flag",Calculate_Business_Metadata[[#This Row],[List of Allowable Values]], 1))</f>
        <v>1</v>
      </c>
      <c r="T61" s="2" t="b">
        <f>ISERROR(FIND("In this case, the list of allowable values can be contact",Calculate_Business_Metadata[[#This Row],[List of Allowable Values]], 1))</f>
        <v>1</v>
      </c>
      <c r="U61" s="2" t="b">
        <f>ISERROR(FIND("In this case, the list of allowable values can be found",Calculate_Business_Metadata[[#This Row],[List of Allowable Values]], 1))</f>
        <v>1</v>
      </c>
      <c r="V61" s="2" t="b">
        <f>ISERROR(FIND("list of allowable values",Calculate_Business_Metadata[[#This Row],[List of Allowable Values]], 1))</f>
        <v>1</v>
      </c>
      <c r="W61" s="2">
        <f t="shared" si="1"/>
        <v>1</v>
      </c>
      <c r="X61" s="2">
        <f>IF(ISBLANK(Calculate_Business_Metadata[[#This Row],[Sample Data]])=TRUE, 0, 1)</f>
        <v>1</v>
      </c>
      <c r="Y61" s="2">
        <f>IF(ISBLANK(Calculate_Business_Metadata[[#This Row],[Business Data Steward]])=TRUE, 0, 1)</f>
        <v>1</v>
      </c>
      <c r="Z61" s="2">
        <f>IF(ISBLANK(Calculate_Business_Metadata[[#This Row],[Data Owner]])=TRUE, 0, 1)</f>
        <v>1</v>
      </c>
      <c r="AA61" s="2">
        <f>IF(ISBLANK(Calculate_Business_Metadata[[#This Row],[Updated Date]])=TRUE, 0, 1)</f>
        <v>1</v>
      </c>
      <c r="AB61" s="2">
        <f>IF(ISBLANK(Calculate_Business_Metadata[[#This Row],[Updated By]])=TRUE, 0, 1)</f>
        <v>1</v>
      </c>
      <c r="AD61" s="2">
        <f>IF(OR(
ISERROR(FIND("  ",Calculate_Business_Metadata[[#This Row],[Business Attribute Name]], 1))=FALSE,
ISERROR(FIND("_",Calculate_Business_Metadata[[#This Row],[Business Attribute Name]], 1))=FALSE)=TRUE, 0, 1)</f>
        <v>1</v>
      </c>
      <c r="AE61" s="2">
        <f>IF(OR(
ISERROR(FIND("  ",Calculate_Business_Metadata[[#This Row],[Business Definition (EN)]], 1))=FALSE,
ISERROR(FIND("__",Calculate_Business_Metadata[[#This Row],[Business Definition (EN)]], 1))=FALSE)=TRUE, 0, 1)</f>
        <v>1</v>
      </c>
      <c r="AF61" s="2">
        <f>IF(OR(
ISERROR(FIND("  ",Calculate_Business_Metadata[[#This Row],[Column Name]], 1))=FALSE,
ISERROR(FIND("__",Calculate_Business_Metadata[[#This Row],[Column Name]], 1))=FALSE)=TRUE, 0, 1)</f>
        <v>1</v>
      </c>
      <c r="AG61" s="2">
        <f>IF(OR(
ISERROR(FIND("  ",Calculate_Business_Metadata[[#This Row],[Business Data Steward]], 1))=FALSE,
ISERROR(FIND("_",Calculate_Business_Metadata[[#This Row],[Business Data Steward]], 1))=FALSE)=TRUE, 0, 1)</f>
        <v>1</v>
      </c>
      <c r="AH61" s="2">
        <f>IF(OR(
ISERROR(FIND("  ",Calculate_Business_Metadata[[#This Row],[Data Owner]], 1))=FALSE,
ISERROR(FIND("_",Calculate_Business_Metadata[[#This Row],[Data Owner]], 1))=FALSE)=TRUE, 0, 1)</f>
        <v>1</v>
      </c>
      <c r="AI61" s="2">
        <f>IF(OR(
ISERROR(FIND("  ",Calculate_Business_Metadata[[#This Row],[Updated By]], 1))=FALSE,
ISERROR(FIND("_",Calculate_Business_Metadata[[#This Row],[Updated By]], 1))=FALSE)=TRUE, 0, 1)</f>
        <v>1</v>
      </c>
      <c r="AK61" s="2">
        <f>IF(OR(ISERROR(FIND("PII",Calculate_Business_Metadata[[#This Row],[PII/Non-PII]], 1))=FALSE, ISERROR(FIND("PII",Calculate_Business_Metadata[[#This Row],[PII/Non-PII]], 1))=FALSE)=TRUE, 1, 0)</f>
        <v>1</v>
      </c>
      <c r="AM61" s="2">
        <f>IF( COUNTIFS(B:B, Calculate_Business_Metadata[[#This Row],[Business Attribute Name]], D:D, Calculate_Business_Metadata[[#This Row],[Column Name]], L:L, Calculate_Business_Metadata[[#This Row],[Subdomain]]) &gt; 1, 0, 1)</f>
        <v>1</v>
      </c>
      <c r="AN61" s="2" t="str">
        <f>LEFT(Calculate_Business_Metadata[[#This Row],[Business Definition (EN)]], 150)</f>
        <v>Marketing division name of Bond Product.</v>
      </c>
      <c r="AO61" s="2">
        <f ca="1">IF( COUNTIFS(AO:AO,AN61, B:B, Calculate_Business_Metadata[[#This Row],[Business Attribute Name]],L:L, Calculate_Business_Metadata[[#This Row],[Subdomain]]) &lt;&gt; 1, 0, 1)</f>
        <v>0</v>
      </c>
      <c r="AP61" s="2">
        <f>IF(COUNTIFS(B:B, Calculate_Business_Metadata[[#This Row],[Business Attribute Name]], D:D, Calculate_Business_Metadata[[#This Row],[Column Name]], AN:AN, AN61) &gt;1, 0, 1)</f>
        <v>1</v>
      </c>
      <c r="AR61" s="2">
        <f>IF(COUNTIFS('Cal_Technical - Column'!D:D, Calculate_Business_Metadata[[#This Row],[Column Name]])&gt; 0, 1, 0)</f>
        <v>1</v>
      </c>
    </row>
    <row r="62" spans="1:44" ht="56" x14ac:dyDescent="0.3">
      <c r="A62" s="74">
        <v>61</v>
      </c>
      <c r="B62" s="74" t="s">
        <v>599</v>
      </c>
      <c r="C62" s="1" t="s">
        <v>600</v>
      </c>
      <c r="D62" s="74" t="s">
        <v>506</v>
      </c>
      <c r="E62" s="74" t="s">
        <v>54</v>
      </c>
      <c r="F62" s="2" t="s">
        <v>47</v>
      </c>
      <c r="G62" s="74" t="s">
        <v>601</v>
      </c>
      <c r="H62" s="74" t="s">
        <v>113</v>
      </c>
      <c r="I62" s="74" t="s">
        <v>114</v>
      </c>
      <c r="J62" s="70">
        <v>45372</v>
      </c>
      <c r="K62" s="74" t="s">
        <v>49</v>
      </c>
      <c r="L62" s="74" t="s">
        <v>519</v>
      </c>
      <c r="N62" s="2">
        <f>IF(ISBLANK(Calculate_Business_Metadata[[#This Row],[Business Attribute Name]])=TRUE, 0, 1)</f>
        <v>1</v>
      </c>
      <c r="O62" s="2">
        <f>IF(ISBLANK(Calculate_Business_Metadata[[#This Row],[Business Definition (EN)]])=TRUE, 0, 1)</f>
        <v>1</v>
      </c>
      <c r="P62" s="2">
        <f>IF(ISBLANK(Calculate_Business_Metadata[[#This Row],[Column Name]])=TRUE, 0, 1)</f>
        <v>1</v>
      </c>
      <c r="Q62" s="2">
        <f>IF(ISBLANK(Calculate_Business_Metadata[[#This Row],[PII/Non-PII]])=TRUE, 0, 1)</f>
        <v>1</v>
      </c>
      <c r="R62" s="2" t="b">
        <f>ISERROR(FIND("-", Calculate_Business_Metadata[[#This Row],[List of Allowable Values]]))</f>
        <v>0</v>
      </c>
      <c r="S62" s="2" t="b">
        <f>ISERROR(FIND("Flag",Calculate_Business_Metadata[[#This Row],[List of Allowable Values]], 1))</f>
        <v>1</v>
      </c>
      <c r="T62" s="2" t="b">
        <f>ISERROR(FIND("In this case, the list of allowable values can be contact",Calculate_Business_Metadata[[#This Row],[List of Allowable Values]], 1))</f>
        <v>1</v>
      </c>
      <c r="U62" s="2" t="b">
        <f>ISERROR(FIND("In this case, the list of allowable values can be found",Calculate_Business_Metadata[[#This Row],[List of Allowable Values]], 1))</f>
        <v>1</v>
      </c>
      <c r="V62" s="2" t="b">
        <f>ISERROR(FIND("list of allowable values",Calculate_Business_Metadata[[#This Row],[List of Allowable Values]], 1))</f>
        <v>1</v>
      </c>
      <c r="W62" s="2">
        <f>IF(OR(R62=TRUE,S62=FALSE, T62=FALSE,U62=FALSE)=TRUE, 1,
IF(AND(R62=FALSE,S62=TRUE)=TRUE, 1, 0))</f>
        <v>1</v>
      </c>
      <c r="X62" s="2">
        <f>IF(ISBLANK(Calculate_Business_Metadata[[#This Row],[Sample Data]])=TRUE, 0, 1)</f>
        <v>1</v>
      </c>
      <c r="Y62" s="2">
        <f>IF(ISBLANK(Calculate_Business_Metadata[[#This Row],[Business Data Steward]])=TRUE, 0, 1)</f>
        <v>1</v>
      </c>
      <c r="Z62" s="2">
        <f>IF(ISBLANK(Calculate_Business_Metadata[[#This Row],[Data Owner]])=TRUE, 0, 1)</f>
        <v>1</v>
      </c>
      <c r="AA62" s="2">
        <f>IF(ISBLANK(Calculate_Business_Metadata[[#This Row],[Updated Date]])=TRUE, 0, 1)</f>
        <v>1</v>
      </c>
      <c r="AB62" s="2">
        <f>IF(ISBLANK(Calculate_Business_Metadata[[#This Row],[Updated By]])=TRUE, 0, 1)</f>
        <v>1</v>
      </c>
      <c r="AD62" s="2">
        <f>IF(OR(
ISERROR(FIND("  ",Calculate_Business_Metadata[[#This Row],[Business Attribute Name]], 1))=FALSE,
ISERROR(FIND("_",Calculate_Business_Metadata[[#This Row],[Business Attribute Name]], 1))=FALSE)=TRUE, 0, 1)</f>
        <v>1</v>
      </c>
      <c r="AE62" s="2">
        <f>IF(OR(
ISERROR(FIND("  ",Calculate_Business_Metadata[[#This Row],[Business Definition (EN)]], 1))=FALSE,
ISERROR(FIND("__",Calculate_Business_Metadata[[#This Row],[Business Definition (EN)]], 1))=FALSE)=TRUE, 0, 1)</f>
        <v>1</v>
      </c>
      <c r="AF62" s="2">
        <f>IF(OR(
ISERROR(FIND("  ",Calculate_Business_Metadata[[#This Row],[Column Name]], 1))=FALSE,
ISERROR(FIND("__",Calculate_Business_Metadata[[#This Row],[Column Name]], 1))=FALSE)=TRUE, 0, 1)</f>
        <v>1</v>
      </c>
      <c r="AG62" s="2">
        <f>IF(OR(
ISERROR(FIND("  ",Calculate_Business_Metadata[[#This Row],[Business Data Steward]], 1))=FALSE,
ISERROR(FIND("_",Calculate_Business_Metadata[[#This Row],[Business Data Steward]], 1))=FALSE)=TRUE, 0, 1)</f>
        <v>1</v>
      </c>
      <c r="AH62" s="2">
        <f>IF(OR(
ISERROR(FIND("  ",Calculate_Business_Metadata[[#This Row],[Data Owner]], 1))=FALSE,
ISERROR(FIND("_",Calculate_Business_Metadata[[#This Row],[Data Owner]], 1))=FALSE)=TRUE, 0, 1)</f>
        <v>1</v>
      </c>
      <c r="AI62" s="2">
        <f>IF(OR(
ISERROR(FIND("  ",Calculate_Business_Metadata[[#This Row],[Updated By]], 1))=FALSE,
ISERROR(FIND("_",Calculate_Business_Metadata[[#This Row],[Updated By]], 1))=FALSE)=TRUE, 0, 1)</f>
        <v>1</v>
      </c>
      <c r="AK62" s="2">
        <f>IF(OR(ISERROR(FIND("PII",Calculate_Business_Metadata[[#This Row],[PII/Non-PII]], 1))=FALSE, ISERROR(FIND("PII",Calculate_Business_Metadata[[#This Row],[PII/Non-PII]], 1))=FALSE)=TRUE, 1, 0)</f>
        <v>1</v>
      </c>
      <c r="AM62" s="2">
        <f>IF( COUNTIFS(B:B, Calculate_Business_Metadata[[#This Row],[Business Attribute Name]], D:D, Calculate_Business_Metadata[[#This Row],[Column Name]], L:L, Calculate_Business_Metadata[[#This Row],[Subdomain]]) &gt; 1, 0, 1)</f>
        <v>1</v>
      </c>
      <c r="AN62" s="2" t="str">
        <f>LEFT(Calculate_Business_Metadata[[#This Row],[Business Definition (EN)]], 150)</f>
        <v>Marketing employee code of Thailand Futures Exchange Product.</v>
      </c>
      <c r="AO62" s="2">
        <f ca="1">IF( COUNTIFS(AO:AO,AN62, B:B, Calculate_Business_Metadata[[#This Row],[Business Attribute Name]],L:L, Calculate_Business_Metadata[[#This Row],[Subdomain]]) &lt;&gt; 1, 0, 1)</f>
        <v>0</v>
      </c>
      <c r="AP62" s="2">
        <f>IF(COUNTIFS(B:B, Calculate_Business_Metadata[[#This Row],[Business Attribute Name]], D:D, Calculate_Business_Metadata[[#This Row],[Column Name]], AN:AN, AN62) &gt;1, 0, 1)</f>
        <v>1</v>
      </c>
      <c r="AR62" s="2">
        <f>IF(COUNTIFS('Cal_Technical - Column'!D:D, Calculate_Business_Metadata[[#This Row],[Column Name]])&gt; 0, 1, 0)</f>
        <v>1</v>
      </c>
    </row>
    <row r="63" spans="1:44" ht="56" x14ac:dyDescent="0.3">
      <c r="A63" s="74">
        <v>62</v>
      </c>
      <c r="B63" s="74" t="s">
        <v>602</v>
      </c>
      <c r="C63" s="1" t="s">
        <v>603</v>
      </c>
      <c r="D63" s="74" t="s">
        <v>507</v>
      </c>
      <c r="E63" s="74" t="s">
        <v>54</v>
      </c>
      <c r="F63" s="2" t="s">
        <v>47</v>
      </c>
      <c r="G63" s="74" t="s">
        <v>604</v>
      </c>
      <c r="H63" s="74" t="s">
        <v>113</v>
      </c>
      <c r="I63" s="74" t="s">
        <v>114</v>
      </c>
      <c r="J63" s="70">
        <v>45372</v>
      </c>
      <c r="K63" s="74" t="s">
        <v>49</v>
      </c>
      <c r="L63" s="74" t="s">
        <v>519</v>
      </c>
      <c r="N63" s="2">
        <f>IF(ISBLANK(Calculate_Business_Metadata[[#This Row],[Business Attribute Name]])=TRUE, 0, 1)</f>
        <v>1</v>
      </c>
      <c r="O63" s="2">
        <f>IF(ISBLANK(Calculate_Business_Metadata[[#This Row],[Business Definition (EN)]])=TRUE, 0, 1)</f>
        <v>1</v>
      </c>
      <c r="P63" s="2">
        <f>IF(ISBLANK(Calculate_Business_Metadata[[#This Row],[Column Name]])=TRUE, 0, 1)</f>
        <v>1</v>
      </c>
      <c r="Q63" s="2">
        <f>IF(ISBLANK(Calculate_Business_Metadata[[#This Row],[PII/Non-PII]])=TRUE, 0, 1)</f>
        <v>1</v>
      </c>
      <c r="R63" s="2" t="b">
        <f>ISERROR(FIND("-", Calculate_Business_Metadata[[#This Row],[List of Allowable Values]]))</f>
        <v>0</v>
      </c>
      <c r="S63" s="2" t="b">
        <f>ISERROR(FIND("Flag",Calculate_Business_Metadata[[#This Row],[List of Allowable Values]], 1))</f>
        <v>1</v>
      </c>
      <c r="T63" s="2" t="b">
        <f>ISERROR(FIND("In this case, the list of allowable values can be contact",Calculate_Business_Metadata[[#This Row],[List of Allowable Values]], 1))</f>
        <v>1</v>
      </c>
      <c r="U63" s="2" t="b">
        <f>ISERROR(FIND("In this case, the list of allowable values can be found",Calculate_Business_Metadata[[#This Row],[List of Allowable Values]], 1))</f>
        <v>1</v>
      </c>
      <c r="V63" s="2" t="b">
        <f>ISERROR(FIND("list of allowable values",Calculate_Business_Metadata[[#This Row],[List of Allowable Values]], 1))</f>
        <v>1</v>
      </c>
      <c r="W63" s="2">
        <f t="shared" si="1"/>
        <v>1</v>
      </c>
      <c r="X63" s="2">
        <f>IF(ISBLANK(Calculate_Business_Metadata[[#This Row],[Sample Data]])=TRUE, 0, 1)</f>
        <v>1</v>
      </c>
      <c r="Y63" s="2">
        <f>IF(ISBLANK(Calculate_Business_Metadata[[#This Row],[Business Data Steward]])=TRUE, 0, 1)</f>
        <v>1</v>
      </c>
      <c r="Z63" s="2">
        <f>IF(ISBLANK(Calculate_Business_Metadata[[#This Row],[Data Owner]])=TRUE, 0, 1)</f>
        <v>1</v>
      </c>
      <c r="AA63" s="2">
        <f>IF(ISBLANK(Calculate_Business_Metadata[[#This Row],[Updated Date]])=TRUE, 0, 1)</f>
        <v>1</v>
      </c>
      <c r="AB63" s="2">
        <f>IF(ISBLANK(Calculate_Business_Metadata[[#This Row],[Updated By]])=TRUE, 0, 1)</f>
        <v>1</v>
      </c>
      <c r="AD63" s="2">
        <f>IF(OR(
ISERROR(FIND("  ",Calculate_Business_Metadata[[#This Row],[Business Attribute Name]], 1))=FALSE,
ISERROR(FIND("_",Calculate_Business_Metadata[[#This Row],[Business Attribute Name]], 1))=FALSE)=TRUE, 0, 1)</f>
        <v>1</v>
      </c>
      <c r="AE63" s="2">
        <f>IF(OR(
ISERROR(FIND("  ",Calculate_Business_Metadata[[#This Row],[Business Definition (EN)]], 1))=FALSE,
ISERROR(FIND("__",Calculate_Business_Metadata[[#This Row],[Business Definition (EN)]], 1))=FALSE)=TRUE, 0, 1)</f>
        <v>1</v>
      </c>
      <c r="AF63" s="2">
        <f>IF(OR(
ISERROR(FIND("  ",Calculate_Business_Metadata[[#This Row],[Column Name]], 1))=FALSE,
ISERROR(FIND("__",Calculate_Business_Metadata[[#This Row],[Column Name]], 1))=FALSE)=TRUE, 0, 1)</f>
        <v>1</v>
      </c>
      <c r="AG63" s="2">
        <f>IF(OR(
ISERROR(FIND("  ",Calculate_Business_Metadata[[#This Row],[Business Data Steward]], 1))=FALSE,
ISERROR(FIND("_",Calculate_Business_Metadata[[#This Row],[Business Data Steward]], 1))=FALSE)=TRUE, 0, 1)</f>
        <v>1</v>
      </c>
      <c r="AH63" s="2">
        <f>IF(OR(
ISERROR(FIND("  ",Calculate_Business_Metadata[[#This Row],[Data Owner]], 1))=FALSE,
ISERROR(FIND("_",Calculate_Business_Metadata[[#This Row],[Data Owner]], 1))=FALSE)=TRUE, 0, 1)</f>
        <v>1</v>
      </c>
      <c r="AI63" s="2">
        <f>IF(OR(
ISERROR(FIND("  ",Calculate_Business_Metadata[[#This Row],[Updated By]], 1))=FALSE,
ISERROR(FIND("_",Calculate_Business_Metadata[[#This Row],[Updated By]], 1))=FALSE)=TRUE, 0, 1)</f>
        <v>1</v>
      </c>
      <c r="AK63" s="2">
        <f>IF(OR(ISERROR(FIND("PII",Calculate_Business_Metadata[[#This Row],[PII/Non-PII]], 1))=FALSE, ISERROR(FIND("PII",Calculate_Business_Metadata[[#This Row],[PII/Non-PII]], 1))=FALSE)=TRUE, 1, 0)</f>
        <v>1</v>
      </c>
      <c r="AM63" s="2">
        <f>IF( COUNTIFS(B:B, Calculate_Business_Metadata[[#This Row],[Business Attribute Name]], D:D, Calculate_Business_Metadata[[#This Row],[Column Name]], L:L, Calculate_Business_Metadata[[#This Row],[Subdomain]]) &gt; 1, 0, 1)</f>
        <v>1</v>
      </c>
      <c r="AN63" s="2" t="str">
        <f>LEFT(Calculate_Business_Metadata[[#This Row],[Business Definition (EN)]], 150)</f>
        <v>Marketing employee thai name of Thailand Futures Exchange Product.</v>
      </c>
      <c r="AO63" s="2">
        <f ca="1">IF( COUNTIFS(AO:AO,AN63, B:B, Calculate_Business_Metadata[[#This Row],[Business Attribute Name]],L:L, Calculate_Business_Metadata[[#This Row],[Subdomain]]) &lt;&gt; 1, 0, 1)</f>
        <v>0</v>
      </c>
      <c r="AP63" s="2">
        <f>IF(COUNTIFS(B:B, Calculate_Business_Metadata[[#This Row],[Business Attribute Name]], D:D, Calculate_Business_Metadata[[#This Row],[Column Name]], AN:AN, AN63) &gt;1, 0, 1)</f>
        <v>1</v>
      </c>
      <c r="AR63" s="2">
        <f>IF(COUNTIFS('Cal_Technical - Column'!D:D, Calculate_Business_Metadata[[#This Row],[Column Name]])&gt; 0, 1, 0)</f>
        <v>1</v>
      </c>
    </row>
    <row r="64" spans="1:44" ht="56" x14ac:dyDescent="0.3">
      <c r="A64" s="74">
        <v>63</v>
      </c>
      <c r="B64" s="74" t="s">
        <v>605</v>
      </c>
      <c r="C64" s="1" t="s">
        <v>606</v>
      </c>
      <c r="D64" s="74" t="s">
        <v>508</v>
      </c>
      <c r="E64" s="74" t="s">
        <v>54</v>
      </c>
      <c r="F64" s="2" t="s">
        <v>47</v>
      </c>
      <c r="G64" s="74" t="s">
        <v>607</v>
      </c>
      <c r="H64" s="74" t="s">
        <v>113</v>
      </c>
      <c r="I64" s="74" t="s">
        <v>114</v>
      </c>
      <c r="J64" s="70">
        <v>45372</v>
      </c>
      <c r="K64" s="74" t="s">
        <v>49</v>
      </c>
      <c r="L64" s="74" t="s">
        <v>519</v>
      </c>
      <c r="N64" s="2">
        <f>IF(ISBLANK(Calculate_Business_Metadata[[#This Row],[Business Attribute Name]])=TRUE, 0, 1)</f>
        <v>1</v>
      </c>
      <c r="O64" s="2">
        <f>IF(ISBLANK(Calculate_Business_Metadata[[#This Row],[Business Definition (EN)]])=TRUE, 0, 1)</f>
        <v>1</v>
      </c>
      <c r="P64" s="2">
        <f>IF(ISBLANK(Calculate_Business_Metadata[[#This Row],[Column Name]])=TRUE, 0, 1)</f>
        <v>1</v>
      </c>
      <c r="Q64" s="2">
        <f>IF(ISBLANK(Calculate_Business_Metadata[[#This Row],[PII/Non-PII]])=TRUE, 0, 1)</f>
        <v>1</v>
      </c>
      <c r="R64" s="2" t="b">
        <f>ISERROR(FIND("-", Calculate_Business_Metadata[[#This Row],[List of Allowable Values]]))</f>
        <v>0</v>
      </c>
      <c r="S64" s="2" t="b">
        <f>ISERROR(FIND("Flag",Calculate_Business_Metadata[[#This Row],[List of Allowable Values]], 1))</f>
        <v>1</v>
      </c>
      <c r="T64" s="2" t="b">
        <f>ISERROR(FIND("In this case, the list of allowable values can be contact",Calculate_Business_Metadata[[#This Row],[List of Allowable Values]], 1))</f>
        <v>1</v>
      </c>
      <c r="U64" s="2" t="b">
        <f>ISERROR(FIND("In this case, the list of allowable values can be found",Calculate_Business_Metadata[[#This Row],[List of Allowable Values]], 1))</f>
        <v>1</v>
      </c>
      <c r="V64" s="2" t="b">
        <f>ISERROR(FIND("list of allowable values",Calculate_Business_Metadata[[#This Row],[List of Allowable Values]], 1))</f>
        <v>1</v>
      </c>
      <c r="W64" s="2">
        <f t="shared" si="1"/>
        <v>1</v>
      </c>
      <c r="X64" s="2">
        <f>IF(ISBLANK(Calculate_Business_Metadata[[#This Row],[Sample Data]])=TRUE, 0, 1)</f>
        <v>1</v>
      </c>
      <c r="Y64" s="2">
        <f>IF(ISBLANK(Calculate_Business_Metadata[[#This Row],[Business Data Steward]])=TRUE, 0, 1)</f>
        <v>1</v>
      </c>
      <c r="Z64" s="2">
        <f>IF(ISBLANK(Calculate_Business_Metadata[[#This Row],[Data Owner]])=TRUE, 0, 1)</f>
        <v>1</v>
      </c>
      <c r="AA64" s="2">
        <f>IF(ISBLANK(Calculate_Business_Metadata[[#This Row],[Updated Date]])=TRUE, 0, 1)</f>
        <v>1</v>
      </c>
      <c r="AB64" s="2">
        <f>IF(ISBLANK(Calculate_Business_Metadata[[#This Row],[Updated By]])=TRUE, 0, 1)</f>
        <v>1</v>
      </c>
      <c r="AD64" s="2">
        <f>IF(OR(
ISERROR(FIND("  ",Calculate_Business_Metadata[[#This Row],[Business Attribute Name]], 1))=FALSE,
ISERROR(FIND("_",Calculate_Business_Metadata[[#This Row],[Business Attribute Name]], 1))=FALSE)=TRUE, 0, 1)</f>
        <v>1</v>
      </c>
      <c r="AE64" s="2">
        <f>IF(OR(
ISERROR(FIND("  ",Calculate_Business_Metadata[[#This Row],[Business Definition (EN)]], 1))=FALSE,
ISERROR(FIND("__",Calculate_Business_Metadata[[#This Row],[Business Definition (EN)]], 1))=FALSE)=TRUE, 0, 1)</f>
        <v>1</v>
      </c>
      <c r="AF64" s="2">
        <f>IF(OR(
ISERROR(FIND("  ",Calculate_Business_Metadata[[#This Row],[Column Name]], 1))=FALSE,
ISERROR(FIND("__",Calculate_Business_Metadata[[#This Row],[Column Name]], 1))=FALSE)=TRUE, 0, 1)</f>
        <v>1</v>
      </c>
      <c r="AG64" s="2">
        <f>IF(OR(
ISERROR(FIND("  ",Calculate_Business_Metadata[[#This Row],[Business Data Steward]], 1))=FALSE,
ISERROR(FIND("_",Calculate_Business_Metadata[[#This Row],[Business Data Steward]], 1))=FALSE)=TRUE, 0, 1)</f>
        <v>1</v>
      </c>
      <c r="AH64" s="2">
        <f>IF(OR(
ISERROR(FIND("  ",Calculate_Business_Metadata[[#This Row],[Data Owner]], 1))=FALSE,
ISERROR(FIND("_",Calculate_Business_Metadata[[#This Row],[Data Owner]], 1))=FALSE)=TRUE, 0, 1)</f>
        <v>1</v>
      </c>
      <c r="AI64" s="2">
        <f>IF(OR(
ISERROR(FIND("  ",Calculate_Business_Metadata[[#This Row],[Updated By]], 1))=FALSE,
ISERROR(FIND("_",Calculate_Business_Metadata[[#This Row],[Updated By]], 1))=FALSE)=TRUE, 0, 1)</f>
        <v>1</v>
      </c>
      <c r="AK64" s="2">
        <f>IF(OR(ISERROR(FIND("PII",Calculate_Business_Metadata[[#This Row],[PII/Non-PII]], 1))=FALSE, ISERROR(FIND("PII",Calculate_Business_Metadata[[#This Row],[PII/Non-PII]], 1))=FALSE)=TRUE, 1, 0)</f>
        <v>1</v>
      </c>
      <c r="AM64" s="2">
        <f>IF( COUNTIFS(B:B, Calculate_Business_Metadata[[#This Row],[Business Attribute Name]], D:D, Calculate_Business_Metadata[[#This Row],[Column Name]], L:L, Calculate_Business_Metadata[[#This Row],[Subdomain]]) &gt; 1, 0, 1)</f>
        <v>1</v>
      </c>
      <c r="AN64" s="2" t="str">
        <f>LEFT(Calculate_Business_Metadata[[#This Row],[Business Definition (EN)]], 150)</f>
        <v>Marketing employee english name of Thailand Futures Exchange Product.</v>
      </c>
      <c r="AO64" s="2">
        <f ca="1">IF( COUNTIFS(AO:AO,AN64, B:B, Calculate_Business_Metadata[[#This Row],[Business Attribute Name]],L:L, Calculate_Business_Metadata[[#This Row],[Subdomain]]) &lt;&gt; 1, 0, 1)</f>
        <v>0</v>
      </c>
      <c r="AP64" s="2">
        <f>IF(COUNTIFS(B:B, Calculate_Business_Metadata[[#This Row],[Business Attribute Name]], D:D, Calculate_Business_Metadata[[#This Row],[Column Name]], AN:AN, AN64) &gt;1, 0, 1)</f>
        <v>1</v>
      </c>
      <c r="AR64" s="2">
        <f>IF(COUNTIFS('Cal_Technical - Column'!D:D, Calculate_Business_Metadata[[#This Row],[Column Name]])&gt; 0, 1, 0)</f>
        <v>1</v>
      </c>
    </row>
    <row r="65" spans="1:44" ht="56" x14ac:dyDescent="0.3">
      <c r="A65" s="74">
        <v>64</v>
      </c>
      <c r="B65" s="74" t="s">
        <v>608</v>
      </c>
      <c r="C65" s="1" t="s">
        <v>609</v>
      </c>
      <c r="D65" s="74" t="s">
        <v>509</v>
      </c>
      <c r="E65" s="74" t="s">
        <v>43</v>
      </c>
      <c r="F65" s="2" t="s">
        <v>47</v>
      </c>
      <c r="G65" s="74" t="s">
        <v>610</v>
      </c>
      <c r="H65" s="74" t="s">
        <v>113</v>
      </c>
      <c r="I65" s="74" t="s">
        <v>114</v>
      </c>
      <c r="J65" s="70">
        <v>45372</v>
      </c>
      <c r="K65" s="74" t="s">
        <v>49</v>
      </c>
      <c r="L65" s="74" t="s">
        <v>519</v>
      </c>
      <c r="N65" s="2">
        <f>IF(ISBLANK(Calculate_Business_Metadata[[#This Row],[Business Attribute Name]])=TRUE, 0, 1)</f>
        <v>1</v>
      </c>
      <c r="O65" s="2">
        <f>IF(ISBLANK(Calculate_Business_Metadata[[#This Row],[Business Definition (EN)]])=TRUE, 0, 1)</f>
        <v>1</v>
      </c>
      <c r="P65" s="2">
        <f>IF(ISBLANK(Calculate_Business_Metadata[[#This Row],[Column Name]])=TRUE, 0, 1)</f>
        <v>1</v>
      </c>
      <c r="Q65" s="2">
        <f>IF(ISBLANK(Calculate_Business_Metadata[[#This Row],[PII/Non-PII]])=TRUE, 0, 1)</f>
        <v>1</v>
      </c>
      <c r="R65" s="2" t="b">
        <f>ISERROR(FIND("-", Calculate_Business_Metadata[[#This Row],[List of Allowable Values]]))</f>
        <v>0</v>
      </c>
      <c r="S65" s="2" t="b">
        <f>ISERROR(FIND("Flag",Calculate_Business_Metadata[[#This Row],[List of Allowable Values]], 1))</f>
        <v>1</v>
      </c>
      <c r="T65" s="2" t="b">
        <f>ISERROR(FIND("In this case, the list of allowable values can be contact",Calculate_Business_Metadata[[#This Row],[List of Allowable Values]], 1))</f>
        <v>1</v>
      </c>
      <c r="U65" s="2" t="b">
        <f>ISERROR(FIND("In this case, the list of allowable values can be found",Calculate_Business_Metadata[[#This Row],[List of Allowable Values]], 1))</f>
        <v>1</v>
      </c>
      <c r="V65" s="2" t="b">
        <f>ISERROR(FIND("list of allowable values",Calculate_Business_Metadata[[#This Row],[List of Allowable Values]], 1))</f>
        <v>1</v>
      </c>
      <c r="W65" s="2">
        <f t="shared" si="1"/>
        <v>1</v>
      </c>
      <c r="X65" s="2">
        <f>IF(ISBLANK(Calculate_Business_Metadata[[#This Row],[Sample Data]])=TRUE, 0, 1)</f>
        <v>1</v>
      </c>
      <c r="Y65" s="2">
        <f>IF(ISBLANK(Calculate_Business_Metadata[[#This Row],[Business Data Steward]])=TRUE, 0, 1)</f>
        <v>1</v>
      </c>
      <c r="Z65" s="2">
        <f>IF(ISBLANK(Calculate_Business_Metadata[[#This Row],[Data Owner]])=TRUE, 0, 1)</f>
        <v>1</v>
      </c>
      <c r="AA65" s="2">
        <f>IF(ISBLANK(Calculate_Business_Metadata[[#This Row],[Updated Date]])=TRUE, 0, 1)</f>
        <v>1</v>
      </c>
      <c r="AB65" s="2">
        <f>IF(ISBLANK(Calculate_Business_Metadata[[#This Row],[Updated By]])=TRUE, 0, 1)</f>
        <v>1</v>
      </c>
      <c r="AD65" s="2">
        <f>IF(OR(
ISERROR(FIND("  ",Calculate_Business_Metadata[[#This Row],[Business Attribute Name]], 1))=FALSE,
ISERROR(FIND("_",Calculate_Business_Metadata[[#This Row],[Business Attribute Name]], 1))=FALSE)=TRUE, 0, 1)</f>
        <v>1</v>
      </c>
      <c r="AE65" s="2">
        <f>IF(OR(
ISERROR(FIND("  ",Calculate_Business_Metadata[[#This Row],[Business Definition (EN)]], 1))=FALSE,
ISERROR(FIND("__",Calculate_Business_Metadata[[#This Row],[Business Definition (EN)]], 1))=FALSE)=TRUE, 0, 1)</f>
        <v>1</v>
      </c>
      <c r="AF65" s="2">
        <f>IF(OR(
ISERROR(FIND("  ",Calculate_Business_Metadata[[#This Row],[Column Name]], 1))=FALSE,
ISERROR(FIND("__",Calculate_Business_Metadata[[#This Row],[Column Name]], 1))=FALSE)=TRUE, 0, 1)</f>
        <v>1</v>
      </c>
      <c r="AG65" s="2">
        <f>IF(OR(
ISERROR(FIND("  ",Calculate_Business_Metadata[[#This Row],[Business Data Steward]], 1))=FALSE,
ISERROR(FIND("_",Calculate_Business_Metadata[[#This Row],[Business Data Steward]], 1))=FALSE)=TRUE, 0, 1)</f>
        <v>1</v>
      </c>
      <c r="AH65" s="2">
        <f>IF(OR(
ISERROR(FIND("  ",Calculate_Business_Metadata[[#This Row],[Data Owner]], 1))=FALSE,
ISERROR(FIND("_",Calculate_Business_Metadata[[#This Row],[Data Owner]], 1))=FALSE)=TRUE, 0, 1)</f>
        <v>1</v>
      </c>
      <c r="AI65" s="2">
        <f>IF(OR(
ISERROR(FIND("  ",Calculate_Business_Metadata[[#This Row],[Updated By]], 1))=FALSE,
ISERROR(FIND("_",Calculate_Business_Metadata[[#This Row],[Updated By]], 1))=FALSE)=TRUE, 0, 1)</f>
        <v>1</v>
      </c>
      <c r="AK65" s="2">
        <f>IF(OR(ISERROR(FIND("PII",Calculate_Business_Metadata[[#This Row],[PII/Non-PII]], 1))=FALSE, ISERROR(FIND("PII",Calculate_Business_Metadata[[#This Row],[PII/Non-PII]], 1))=FALSE)=TRUE, 1, 0)</f>
        <v>1</v>
      </c>
      <c r="AM65" s="2">
        <f>IF( COUNTIFS(B:B, Calculate_Business_Metadata[[#This Row],[Business Attribute Name]], D:D, Calculate_Business_Metadata[[#This Row],[Column Name]], L:L, Calculate_Business_Metadata[[#This Row],[Subdomain]]) &gt; 1, 0, 1)</f>
        <v>1</v>
      </c>
      <c r="AN65" s="2" t="str">
        <f>LEFT(Calculate_Business_Metadata[[#This Row],[Business Definition (EN)]], 150)</f>
        <v>Marketing identifier code of Thailand Futures Exchange Product.</v>
      </c>
      <c r="AO65" s="2">
        <f ca="1">IF( COUNTIFS(AO:AO,AN65, B:B, Calculate_Business_Metadata[[#This Row],[Business Attribute Name]],L:L, Calculate_Business_Metadata[[#This Row],[Subdomain]]) &lt;&gt; 1, 0, 1)</f>
        <v>0</v>
      </c>
      <c r="AP65" s="2">
        <f>IF(COUNTIFS(B:B, Calculate_Business_Metadata[[#This Row],[Business Attribute Name]], D:D, Calculate_Business_Metadata[[#This Row],[Column Name]], AN:AN, AN65) &gt;1, 0, 1)</f>
        <v>1</v>
      </c>
      <c r="AR65" s="2">
        <f>IF(COUNTIFS('Cal_Technical - Column'!D:D, Calculate_Business_Metadata[[#This Row],[Column Name]])&gt; 0, 1, 0)</f>
        <v>1</v>
      </c>
    </row>
    <row r="66" spans="1:44" ht="56" x14ac:dyDescent="0.3">
      <c r="A66" s="74">
        <v>65</v>
      </c>
      <c r="B66" s="74" t="s">
        <v>611</v>
      </c>
      <c r="C66" s="1" t="s">
        <v>612</v>
      </c>
      <c r="D66" s="74" t="s">
        <v>510</v>
      </c>
      <c r="E66" s="74" t="s">
        <v>43</v>
      </c>
      <c r="F66" s="2" t="s">
        <v>47</v>
      </c>
      <c r="G66" s="74" t="s">
        <v>583</v>
      </c>
      <c r="H66" s="74" t="s">
        <v>113</v>
      </c>
      <c r="I66" s="74" t="s">
        <v>114</v>
      </c>
      <c r="J66" s="70">
        <v>45372</v>
      </c>
      <c r="K66" s="74" t="s">
        <v>49</v>
      </c>
      <c r="L66" s="74" t="s">
        <v>519</v>
      </c>
      <c r="N66" s="2">
        <f>IF(ISBLANK(Calculate_Business_Metadata[[#This Row],[Business Attribute Name]])=TRUE, 0, 1)</f>
        <v>1</v>
      </c>
      <c r="O66" s="2">
        <f>IF(ISBLANK(Calculate_Business_Metadata[[#This Row],[Business Definition (EN)]])=TRUE, 0, 1)</f>
        <v>1</v>
      </c>
      <c r="P66" s="2">
        <f>IF(ISBLANK(Calculate_Business_Metadata[[#This Row],[Column Name]])=TRUE, 0, 1)</f>
        <v>1</v>
      </c>
      <c r="Q66" s="2">
        <f>IF(ISBLANK(Calculate_Business_Metadata[[#This Row],[PII/Non-PII]])=TRUE, 0, 1)</f>
        <v>1</v>
      </c>
      <c r="R66" s="2" t="b">
        <f>ISERROR(FIND("-", Calculate_Business_Metadata[[#This Row],[List of Allowable Values]]))</f>
        <v>0</v>
      </c>
      <c r="S66" s="2" t="b">
        <f>ISERROR(FIND("Flag",Calculate_Business_Metadata[[#This Row],[List of Allowable Values]], 1))</f>
        <v>1</v>
      </c>
      <c r="T66" s="2" t="b">
        <f>ISERROR(FIND("In this case, the list of allowable values can be contact",Calculate_Business_Metadata[[#This Row],[List of Allowable Values]], 1))</f>
        <v>1</v>
      </c>
      <c r="U66" s="2" t="b">
        <f>ISERROR(FIND("In this case, the list of allowable values can be found",Calculate_Business_Metadata[[#This Row],[List of Allowable Values]], 1))</f>
        <v>1</v>
      </c>
      <c r="V66" s="2" t="b">
        <f>ISERROR(FIND("list of allowable values",Calculate_Business_Metadata[[#This Row],[List of Allowable Values]], 1))</f>
        <v>1</v>
      </c>
      <c r="W66" s="2">
        <f t="shared" si="1"/>
        <v>1</v>
      </c>
      <c r="X66" s="2">
        <f>IF(ISBLANK(Calculate_Business_Metadata[[#This Row],[Sample Data]])=TRUE, 0, 1)</f>
        <v>1</v>
      </c>
      <c r="Y66" s="2">
        <f>IF(ISBLANK(Calculate_Business_Metadata[[#This Row],[Business Data Steward]])=TRUE, 0, 1)</f>
        <v>1</v>
      </c>
      <c r="Z66" s="2">
        <f>IF(ISBLANK(Calculate_Business_Metadata[[#This Row],[Data Owner]])=TRUE, 0, 1)</f>
        <v>1</v>
      </c>
      <c r="AA66" s="2">
        <f>IF(ISBLANK(Calculate_Business_Metadata[[#This Row],[Updated Date]])=TRUE, 0, 1)</f>
        <v>1</v>
      </c>
      <c r="AB66" s="2">
        <f>IF(ISBLANK(Calculate_Business_Metadata[[#This Row],[Updated By]])=TRUE, 0, 1)</f>
        <v>1</v>
      </c>
      <c r="AD66" s="2">
        <f>IF(OR(
ISERROR(FIND("  ",Calculate_Business_Metadata[[#This Row],[Business Attribute Name]], 1))=FALSE,
ISERROR(FIND("_",Calculate_Business_Metadata[[#This Row],[Business Attribute Name]], 1))=FALSE)=TRUE, 0, 1)</f>
        <v>1</v>
      </c>
      <c r="AE66" s="2">
        <f>IF(OR(
ISERROR(FIND("  ",Calculate_Business_Metadata[[#This Row],[Business Definition (EN)]], 1))=FALSE,
ISERROR(FIND("__",Calculate_Business_Metadata[[#This Row],[Business Definition (EN)]], 1))=FALSE)=TRUE, 0, 1)</f>
        <v>1</v>
      </c>
      <c r="AF66" s="2">
        <f>IF(OR(
ISERROR(FIND("  ",Calculate_Business_Metadata[[#This Row],[Column Name]], 1))=FALSE,
ISERROR(FIND("__",Calculate_Business_Metadata[[#This Row],[Column Name]], 1))=FALSE)=TRUE, 0, 1)</f>
        <v>1</v>
      </c>
      <c r="AG66" s="2">
        <f>IF(OR(
ISERROR(FIND("  ",Calculate_Business_Metadata[[#This Row],[Business Data Steward]], 1))=FALSE,
ISERROR(FIND("_",Calculate_Business_Metadata[[#This Row],[Business Data Steward]], 1))=FALSE)=TRUE, 0, 1)</f>
        <v>1</v>
      </c>
      <c r="AH66" s="2">
        <f>IF(OR(
ISERROR(FIND("  ",Calculate_Business_Metadata[[#This Row],[Data Owner]], 1))=FALSE,
ISERROR(FIND("_",Calculate_Business_Metadata[[#This Row],[Data Owner]], 1))=FALSE)=TRUE, 0, 1)</f>
        <v>1</v>
      </c>
      <c r="AI66" s="2">
        <f>IF(OR(
ISERROR(FIND("  ",Calculate_Business_Metadata[[#This Row],[Updated By]], 1))=FALSE,
ISERROR(FIND("_",Calculate_Business_Metadata[[#This Row],[Updated By]], 1))=FALSE)=TRUE, 0, 1)</f>
        <v>1</v>
      </c>
      <c r="AK66" s="2">
        <f>IF(OR(ISERROR(FIND("PII",Calculate_Business_Metadata[[#This Row],[PII/Non-PII]], 1))=FALSE, ISERROR(FIND("PII",Calculate_Business_Metadata[[#This Row],[PII/Non-PII]], 1))=FALSE)=TRUE, 1, 0)</f>
        <v>1</v>
      </c>
      <c r="AM66" s="2">
        <f>IF( COUNTIFS(B:B, Calculate_Business_Metadata[[#This Row],[Business Attribute Name]], D:D, Calculate_Business_Metadata[[#This Row],[Column Name]], L:L, Calculate_Business_Metadata[[#This Row],[Subdomain]]) &gt; 1, 0, 1)</f>
        <v>1</v>
      </c>
      <c r="AN66" s="2" t="str">
        <f>LEFT(Calculate_Business_Metadata[[#This Row],[Business Definition (EN)]], 150)</f>
        <v>Marketing division name of Thailand Futures Exchange Product.</v>
      </c>
      <c r="AO66" s="2">
        <f ca="1">IF( COUNTIFS(AO:AO,AN66, B:B, Calculate_Business_Metadata[[#This Row],[Business Attribute Name]],L:L, Calculate_Business_Metadata[[#This Row],[Subdomain]]) &lt;&gt; 1, 0, 1)</f>
        <v>0</v>
      </c>
      <c r="AP66" s="2">
        <f>IF(COUNTIFS(B:B, Calculate_Business_Metadata[[#This Row],[Business Attribute Name]], D:D, Calculate_Business_Metadata[[#This Row],[Column Name]], AN:AN, AN66) &gt;1, 0, 1)</f>
        <v>1</v>
      </c>
      <c r="AR66" s="2">
        <f>IF(COUNTIFS('Cal_Technical - Column'!D:D, Calculate_Business_Metadata[[#This Row],[Column Name]])&gt; 0, 1, 0)</f>
        <v>1</v>
      </c>
    </row>
    <row r="67" spans="1:44" ht="28" x14ac:dyDescent="0.3">
      <c r="A67" s="74">
        <v>66</v>
      </c>
      <c r="B67" s="74" t="s">
        <v>613</v>
      </c>
      <c r="C67" s="1" t="s">
        <v>614</v>
      </c>
      <c r="D67" s="74" t="s">
        <v>511</v>
      </c>
      <c r="E67" s="74" t="s">
        <v>54</v>
      </c>
      <c r="F67" s="2" t="s">
        <v>47</v>
      </c>
      <c r="G67" s="74" t="s">
        <v>615</v>
      </c>
      <c r="H67" s="74" t="s">
        <v>113</v>
      </c>
      <c r="I67" s="74" t="s">
        <v>114</v>
      </c>
      <c r="J67" s="70">
        <v>45372</v>
      </c>
      <c r="K67" s="74" t="s">
        <v>49</v>
      </c>
      <c r="L67" s="74" t="s">
        <v>519</v>
      </c>
      <c r="N67" s="2">
        <f>IF(ISBLANK(Calculate_Business_Metadata[[#This Row],[Business Attribute Name]])=TRUE, 0, 1)</f>
        <v>1</v>
      </c>
      <c r="O67" s="2">
        <f>IF(ISBLANK(Calculate_Business_Metadata[[#This Row],[Business Definition (EN)]])=TRUE, 0, 1)</f>
        <v>1</v>
      </c>
      <c r="P67" s="2">
        <f>IF(ISBLANK(Calculate_Business_Metadata[[#This Row],[Column Name]])=TRUE, 0, 1)</f>
        <v>1</v>
      </c>
      <c r="Q67" s="2">
        <f>IF(ISBLANK(Calculate_Business_Metadata[[#This Row],[PII/Non-PII]])=TRUE, 0, 1)</f>
        <v>1</v>
      </c>
      <c r="R67" s="2" t="b">
        <f>ISERROR(FIND("-", Calculate_Business_Metadata[[#This Row],[List of Allowable Values]]))</f>
        <v>0</v>
      </c>
      <c r="S67" s="2" t="b">
        <f>ISERROR(FIND("Flag",Calculate_Business_Metadata[[#This Row],[List of Allowable Values]], 1))</f>
        <v>1</v>
      </c>
      <c r="T67" s="2" t="b">
        <f>ISERROR(FIND("In this case, the list of allowable values can be contact",Calculate_Business_Metadata[[#This Row],[List of Allowable Values]], 1))</f>
        <v>1</v>
      </c>
      <c r="U67" s="2" t="b">
        <f>ISERROR(FIND("In this case, the list of allowable values can be found",Calculate_Business_Metadata[[#This Row],[List of Allowable Values]], 1))</f>
        <v>1</v>
      </c>
      <c r="V67" s="2" t="b">
        <f>ISERROR(FIND("list of allowable values",Calculate_Business_Metadata[[#This Row],[List of Allowable Values]], 1))</f>
        <v>1</v>
      </c>
      <c r="W67" s="2">
        <f t="shared" si="1"/>
        <v>1</v>
      </c>
      <c r="X67" s="2">
        <f>IF(ISBLANK(Calculate_Business_Metadata[[#This Row],[Sample Data]])=TRUE, 0, 1)</f>
        <v>1</v>
      </c>
      <c r="Y67" s="2">
        <f>IF(ISBLANK(Calculate_Business_Metadata[[#This Row],[Business Data Steward]])=TRUE, 0, 1)</f>
        <v>1</v>
      </c>
      <c r="Z67" s="2">
        <f>IF(ISBLANK(Calculate_Business_Metadata[[#This Row],[Data Owner]])=TRUE, 0, 1)</f>
        <v>1</v>
      </c>
      <c r="AA67" s="2">
        <f>IF(ISBLANK(Calculate_Business_Metadata[[#This Row],[Updated Date]])=TRUE, 0, 1)</f>
        <v>1</v>
      </c>
      <c r="AB67" s="2">
        <f>IF(ISBLANK(Calculate_Business_Metadata[[#This Row],[Updated By]])=TRUE, 0, 1)</f>
        <v>1</v>
      </c>
      <c r="AD67" s="2">
        <f>IF(OR(
ISERROR(FIND("  ",Calculate_Business_Metadata[[#This Row],[Business Attribute Name]], 1))=FALSE,
ISERROR(FIND("_",Calculate_Business_Metadata[[#This Row],[Business Attribute Name]], 1))=FALSE)=TRUE, 0, 1)</f>
        <v>1</v>
      </c>
      <c r="AE67" s="2">
        <f>IF(OR(
ISERROR(FIND("  ",Calculate_Business_Metadata[[#This Row],[Business Definition (EN)]], 1))=FALSE,
ISERROR(FIND("__",Calculate_Business_Metadata[[#This Row],[Business Definition (EN)]], 1))=FALSE)=TRUE, 0, 1)</f>
        <v>1</v>
      </c>
      <c r="AF67" s="2">
        <f>IF(OR(
ISERROR(FIND("  ",Calculate_Business_Metadata[[#This Row],[Column Name]], 1))=FALSE,
ISERROR(FIND("__",Calculate_Business_Metadata[[#This Row],[Column Name]], 1))=FALSE)=TRUE, 0, 1)</f>
        <v>1</v>
      </c>
      <c r="AG67" s="2">
        <f>IF(OR(
ISERROR(FIND("  ",Calculate_Business_Metadata[[#This Row],[Business Data Steward]], 1))=FALSE,
ISERROR(FIND("_",Calculate_Business_Metadata[[#This Row],[Business Data Steward]], 1))=FALSE)=TRUE, 0, 1)</f>
        <v>1</v>
      </c>
      <c r="AH67" s="2">
        <f>IF(OR(
ISERROR(FIND("  ",Calculate_Business_Metadata[[#This Row],[Data Owner]], 1))=FALSE,
ISERROR(FIND("_",Calculate_Business_Metadata[[#This Row],[Data Owner]], 1))=FALSE)=TRUE, 0, 1)</f>
        <v>1</v>
      </c>
      <c r="AI67" s="2">
        <f>IF(OR(
ISERROR(FIND("  ",Calculate_Business_Metadata[[#This Row],[Updated By]], 1))=FALSE,
ISERROR(FIND("_",Calculate_Business_Metadata[[#This Row],[Updated By]], 1))=FALSE)=TRUE, 0, 1)</f>
        <v>1</v>
      </c>
      <c r="AK67" s="2">
        <f>IF(OR(ISERROR(FIND("PII",Calculate_Business_Metadata[[#This Row],[PII/Non-PII]], 1))=FALSE, ISERROR(FIND("PII",Calculate_Business_Metadata[[#This Row],[PII/Non-PII]], 1))=FALSE)=TRUE, 1, 0)</f>
        <v>1</v>
      </c>
      <c r="AM67" s="2">
        <f>IF( COUNTIFS(B:B, Calculate_Business_Metadata[[#This Row],[Business Attribute Name]], D:D, Calculate_Business_Metadata[[#This Row],[Column Name]], L:L, Calculate_Business_Metadata[[#This Row],[Subdomain]]) &gt; 1, 0, 1)</f>
        <v>1</v>
      </c>
      <c r="AN67" s="2" t="str">
        <f>LEFT(Calculate_Business_Metadata[[#This Row],[Business Definition (EN)]], 150)</f>
        <v>Account number for receive of investment.</v>
      </c>
      <c r="AO67" s="2">
        <f ca="1">IF( COUNTIFS(AO:AO,AN67, B:B, Calculate_Business_Metadata[[#This Row],[Business Attribute Name]],L:L, Calculate_Business_Metadata[[#This Row],[Subdomain]]) &lt;&gt; 1, 0, 1)</f>
        <v>0</v>
      </c>
      <c r="AP67" s="2">
        <f>IF(COUNTIFS(B:B, Calculate_Business_Metadata[[#This Row],[Business Attribute Name]], D:D, Calculate_Business_Metadata[[#This Row],[Column Name]], AN:AN, AN67) &gt;1, 0, 1)</f>
        <v>1</v>
      </c>
      <c r="AR67" s="2">
        <f>IF(COUNTIFS('Cal_Technical - Column'!D:D, Calculate_Business_Metadata[[#This Row],[Column Name]])&gt; 0, 1, 0)</f>
        <v>1</v>
      </c>
    </row>
    <row r="68" spans="1:44" ht="28" x14ac:dyDescent="0.3">
      <c r="A68" s="74">
        <v>67</v>
      </c>
      <c r="B68" s="74" t="s">
        <v>616</v>
      </c>
      <c r="C68" s="1" t="s">
        <v>617</v>
      </c>
      <c r="D68" s="74" t="s">
        <v>512</v>
      </c>
      <c r="E68" s="74" t="s">
        <v>54</v>
      </c>
      <c r="F68" s="2" t="s">
        <v>47</v>
      </c>
      <c r="G68" s="74" t="s">
        <v>618</v>
      </c>
      <c r="H68" s="74" t="s">
        <v>113</v>
      </c>
      <c r="I68" s="74" t="s">
        <v>114</v>
      </c>
      <c r="J68" s="70">
        <v>45372</v>
      </c>
      <c r="K68" s="74" t="s">
        <v>49</v>
      </c>
      <c r="L68" s="74" t="s">
        <v>519</v>
      </c>
      <c r="N68" s="2">
        <f>IF(ISBLANK(Calculate_Business_Metadata[[#This Row],[Business Attribute Name]])=TRUE, 0, 1)</f>
        <v>1</v>
      </c>
      <c r="O68" s="2">
        <f>IF(ISBLANK(Calculate_Business_Metadata[[#This Row],[Business Definition (EN)]])=TRUE, 0, 1)</f>
        <v>1</v>
      </c>
      <c r="P68" s="2">
        <f>IF(ISBLANK(Calculate_Business_Metadata[[#This Row],[Column Name]])=TRUE, 0, 1)</f>
        <v>1</v>
      </c>
      <c r="Q68" s="2">
        <f>IF(ISBLANK(Calculate_Business_Metadata[[#This Row],[PII/Non-PII]])=TRUE, 0, 1)</f>
        <v>1</v>
      </c>
      <c r="R68" s="2" t="b">
        <f>ISERROR(FIND("-", Calculate_Business_Metadata[[#This Row],[List of Allowable Values]]))</f>
        <v>0</v>
      </c>
      <c r="S68" s="2" t="b">
        <f>ISERROR(FIND("Flag",Calculate_Business_Metadata[[#This Row],[List of Allowable Values]], 1))</f>
        <v>1</v>
      </c>
      <c r="T68" s="2" t="b">
        <f>ISERROR(FIND("In this case, the list of allowable values can be contact",Calculate_Business_Metadata[[#This Row],[List of Allowable Values]], 1))</f>
        <v>1</v>
      </c>
      <c r="U68" s="2" t="b">
        <f>ISERROR(FIND("In this case, the list of allowable values can be found",Calculate_Business_Metadata[[#This Row],[List of Allowable Values]], 1))</f>
        <v>1</v>
      </c>
      <c r="V68" s="2" t="b">
        <f>ISERROR(FIND("list of allowable values",Calculate_Business_Metadata[[#This Row],[List of Allowable Values]], 1))</f>
        <v>1</v>
      </c>
      <c r="W68" s="2">
        <f t="shared" si="1"/>
        <v>1</v>
      </c>
      <c r="X68" s="2">
        <f>IF(ISBLANK(Calculate_Business_Metadata[[#This Row],[Sample Data]])=TRUE, 0, 1)</f>
        <v>1</v>
      </c>
      <c r="Y68" s="2">
        <f>IF(ISBLANK(Calculate_Business_Metadata[[#This Row],[Business Data Steward]])=TRUE, 0, 1)</f>
        <v>1</v>
      </c>
      <c r="Z68" s="2">
        <f>IF(ISBLANK(Calculate_Business_Metadata[[#This Row],[Data Owner]])=TRUE, 0, 1)</f>
        <v>1</v>
      </c>
      <c r="AA68" s="2">
        <f>IF(ISBLANK(Calculate_Business_Metadata[[#This Row],[Updated Date]])=TRUE, 0, 1)</f>
        <v>1</v>
      </c>
      <c r="AB68" s="2">
        <f>IF(ISBLANK(Calculate_Business_Metadata[[#This Row],[Updated By]])=TRUE, 0, 1)</f>
        <v>1</v>
      </c>
      <c r="AD68" s="2">
        <f>IF(OR(
ISERROR(FIND("  ",Calculate_Business_Metadata[[#This Row],[Business Attribute Name]], 1))=FALSE,
ISERROR(FIND("_",Calculate_Business_Metadata[[#This Row],[Business Attribute Name]], 1))=FALSE)=TRUE, 0, 1)</f>
        <v>1</v>
      </c>
      <c r="AE68" s="2">
        <f>IF(OR(
ISERROR(FIND("  ",Calculate_Business_Metadata[[#This Row],[Business Definition (EN)]], 1))=FALSE,
ISERROR(FIND("__",Calculate_Business_Metadata[[#This Row],[Business Definition (EN)]], 1))=FALSE)=TRUE, 0, 1)</f>
        <v>1</v>
      </c>
      <c r="AF68" s="2">
        <f>IF(OR(
ISERROR(FIND("  ",Calculate_Business_Metadata[[#This Row],[Column Name]], 1))=FALSE,
ISERROR(FIND("__",Calculate_Business_Metadata[[#This Row],[Column Name]], 1))=FALSE)=TRUE, 0, 1)</f>
        <v>1</v>
      </c>
      <c r="AG68" s="2">
        <f>IF(OR(
ISERROR(FIND("  ",Calculate_Business_Metadata[[#This Row],[Business Data Steward]], 1))=FALSE,
ISERROR(FIND("_",Calculate_Business_Metadata[[#This Row],[Business Data Steward]], 1))=FALSE)=TRUE, 0, 1)</f>
        <v>1</v>
      </c>
      <c r="AH68" s="2">
        <f>IF(OR(
ISERROR(FIND("  ",Calculate_Business_Metadata[[#This Row],[Data Owner]], 1))=FALSE,
ISERROR(FIND("_",Calculate_Business_Metadata[[#This Row],[Data Owner]], 1))=FALSE)=TRUE, 0, 1)</f>
        <v>1</v>
      </c>
      <c r="AI68" s="2">
        <f>IF(OR(
ISERROR(FIND("  ",Calculate_Business_Metadata[[#This Row],[Updated By]], 1))=FALSE,
ISERROR(FIND("_",Calculate_Business_Metadata[[#This Row],[Updated By]], 1))=FALSE)=TRUE, 0, 1)</f>
        <v>1</v>
      </c>
      <c r="AK68" s="2">
        <f>IF(OR(ISERROR(FIND("PII",Calculate_Business_Metadata[[#This Row],[PII/Non-PII]], 1))=FALSE, ISERROR(FIND("PII",Calculate_Business_Metadata[[#This Row],[PII/Non-PII]], 1))=FALSE)=TRUE, 1, 0)</f>
        <v>1</v>
      </c>
      <c r="AM68" s="2">
        <f>IF( COUNTIFS(B:B, Calculate_Business_Metadata[[#This Row],[Business Attribute Name]], D:D, Calculate_Business_Metadata[[#This Row],[Column Name]], L:L, Calculate_Business_Metadata[[#This Row],[Subdomain]]) &gt; 1, 0, 1)</f>
        <v>1</v>
      </c>
      <c r="AN68" s="2" t="str">
        <f>LEFT(Calculate_Business_Metadata[[#This Row],[Business Definition (EN)]], 150)</f>
        <v>Account number for pay of investment.</v>
      </c>
      <c r="AO68" s="2">
        <f ca="1">IF( COUNTIFS(AO:AO,AN68, B:B, Calculate_Business_Metadata[[#This Row],[Business Attribute Name]],L:L, Calculate_Business_Metadata[[#This Row],[Subdomain]]) &lt;&gt; 1, 0, 1)</f>
        <v>0</v>
      </c>
      <c r="AP68" s="2">
        <f>IF(COUNTIFS(B:B, Calculate_Business_Metadata[[#This Row],[Business Attribute Name]], D:D, Calculate_Business_Metadata[[#This Row],[Column Name]], AN:AN, AN68) &gt;1, 0, 1)</f>
        <v>1</v>
      </c>
      <c r="AR68" s="2">
        <f>IF(COUNTIFS('Cal_Technical - Column'!D:D, Calculate_Business_Metadata[[#This Row],[Column Name]])&gt; 0, 1, 0)</f>
        <v>1</v>
      </c>
    </row>
    <row r="69" spans="1:44" ht="112" x14ac:dyDescent="0.3">
      <c r="A69" s="74">
        <v>68</v>
      </c>
      <c r="B69" s="74" t="s">
        <v>628</v>
      </c>
      <c r="C69" s="1" t="s">
        <v>629</v>
      </c>
      <c r="D69" s="74" t="s">
        <v>620</v>
      </c>
      <c r="E69" s="74" t="s">
        <v>43</v>
      </c>
      <c r="F69" s="2" t="s">
        <v>47</v>
      </c>
      <c r="G69" s="74" t="s">
        <v>630</v>
      </c>
      <c r="H69" s="74" t="s">
        <v>113</v>
      </c>
      <c r="I69" s="74" t="s">
        <v>114</v>
      </c>
      <c r="J69" s="70">
        <v>45454</v>
      </c>
      <c r="K69" s="74" t="s">
        <v>57</v>
      </c>
      <c r="L69" s="74" t="s">
        <v>634</v>
      </c>
      <c r="N69" s="2">
        <f>IF(ISBLANK(Calculate_Business_Metadata[[#This Row],[Business Attribute Name]])=TRUE, 0, 1)</f>
        <v>1</v>
      </c>
      <c r="O69" s="2">
        <f>IF(ISBLANK(Calculate_Business_Metadata[[#This Row],[Business Definition (EN)]])=TRUE, 0, 1)</f>
        <v>1</v>
      </c>
      <c r="P69" s="2">
        <f>IF(ISBLANK(Calculate_Business_Metadata[[#This Row],[Column Name]])=TRUE, 0, 1)</f>
        <v>1</v>
      </c>
      <c r="Q69" s="2">
        <f>IF(ISBLANK(Calculate_Business_Metadata[[#This Row],[PII/Non-PII]])=TRUE, 0, 1)</f>
        <v>1</v>
      </c>
      <c r="R69" s="2" t="b">
        <f>ISERROR(FIND("-", Calculate_Business_Metadata[[#This Row],[List of Allowable Values]]))</f>
        <v>0</v>
      </c>
      <c r="S69" s="2" t="b">
        <f>ISERROR(FIND("Flag",Calculate_Business_Metadata[[#This Row],[List of Allowable Values]], 1))</f>
        <v>1</v>
      </c>
      <c r="T69" s="2" t="b">
        <f>ISERROR(FIND("In this case, the list of allowable values can be contact",Calculate_Business_Metadata[[#This Row],[List of Allowable Values]], 1))</f>
        <v>1</v>
      </c>
      <c r="U69" s="2" t="b">
        <f>ISERROR(FIND("In this case, the list of allowable values can be found",Calculate_Business_Metadata[[#This Row],[List of Allowable Values]], 1))</f>
        <v>1</v>
      </c>
      <c r="V69" s="2" t="b">
        <f>ISERROR(FIND("list of allowable values",Calculate_Business_Metadata[[#This Row],[List of Allowable Values]], 1))</f>
        <v>1</v>
      </c>
      <c r="W69" s="2">
        <f t="shared" ref="W69:W77" si="2">IF(OR(R69=TRUE,S69=FALSE, T69=FALSE,U69=FALSE)=TRUE, 1,
IF(AND(R69=FALSE,S69=TRUE)=TRUE, 1, 0))</f>
        <v>1</v>
      </c>
      <c r="X69" s="2">
        <f>IF(ISBLANK(Calculate_Business_Metadata[[#This Row],[Sample Data]])=TRUE, 0, 1)</f>
        <v>1</v>
      </c>
      <c r="Y69" s="2">
        <f>IF(ISBLANK(Calculate_Business_Metadata[[#This Row],[Business Data Steward]])=TRUE, 0, 1)</f>
        <v>1</v>
      </c>
      <c r="Z69" s="2">
        <f>IF(ISBLANK(Calculate_Business_Metadata[[#This Row],[Data Owner]])=TRUE, 0, 1)</f>
        <v>1</v>
      </c>
      <c r="AA69" s="2">
        <f>IF(ISBLANK(Calculate_Business_Metadata[[#This Row],[Updated Date]])=TRUE, 0, 1)</f>
        <v>1</v>
      </c>
      <c r="AB69" s="2">
        <f>IF(ISBLANK(Calculate_Business_Metadata[[#This Row],[Updated By]])=TRUE, 0, 1)</f>
        <v>1</v>
      </c>
      <c r="AD69" s="2">
        <f>IF(OR(
ISERROR(FIND("  ",Calculate_Business_Metadata[[#This Row],[Business Attribute Name]], 1))=FALSE,
ISERROR(FIND("_",Calculate_Business_Metadata[[#This Row],[Business Attribute Name]], 1))=FALSE)=TRUE, 0, 1)</f>
        <v>1</v>
      </c>
      <c r="AE69" s="2">
        <f>IF(OR(
ISERROR(FIND("  ",Calculate_Business_Metadata[[#This Row],[Business Definition (EN)]], 1))=FALSE,
ISERROR(FIND("__",Calculate_Business_Metadata[[#This Row],[Business Definition (EN)]], 1))=FALSE)=TRUE, 0, 1)</f>
        <v>1</v>
      </c>
      <c r="AF69" s="2">
        <f>IF(OR(
ISERROR(FIND("  ",Calculate_Business_Metadata[[#This Row],[Column Name]], 1))=FALSE,
ISERROR(FIND("__",Calculate_Business_Metadata[[#This Row],[Column Name]], 1))=FALSE)=TRUE, 0, 1)</f>
        <v>1</v>
      </c>
      <c r="AG69" s="2">
        <f>IF(OR(
ISERROR(FIND("  ",Calculate_Business_Metadata[[#This Row],[Business Data Steward]], 1))=FALSE,
ISERROR(FIND("_",Calculate_Business_Metadata[[#This Row],[Business Data Steward]], 1))=FALSE)=TRUE, 0, 1)</f>
        <v>1</v>
      </c>
      <c r="AH69" s="2">
        <f>IF(OR(
ISERROR(FIND("  ",Calculate_Business_Metadata[[#This Row],[Data Owner]], 1))=FALSE,
ISERROR(FIND("_",Calculate_Business_Metadata[[#This Row],[Data Owner]], 1))=FALSE)=TRUE, 0, 1)</f>
        <v>1</v>
      </c>
      <c r="AI69" s="2">
        <f>IF(OR(
ISERROR(FIND("  ",Calculate_Business_Metadata[[#This Row],[Updated By]], 1))=FALSE,
ISERROR(FIND("_",Calculate_Business_Metadata[[#This Row],[Updated By]], 1))=FALSE)=TRUE, 0, 1)</f>
        <v>1</v>
      </c>
      <c r="AK69" s="2">
        <f>IF(OR(ISERROR(FIND("PII",Calculate_Business_Metadata[[#This Row],[PII/Non-PII]], 1))=FALSE, ISERROR(FIND("PII",Calculate_Business_Metadata[[#This Row],[PII/Non-PII]], 1))=FALSE)=TRUE, 1, 0)</f>
        <v>1</v>
      </c>
      <c r="AM69" s="2">
        <f>IF( COUNTIFS(B:B, Calculate_Business_Metadata[[#This Row],[Business Attribute Name]], D:D, Calculate_Business_Metadata[[#This Row],[Column Name]], L:L, Calculate_Business_Metadata[[#This Row],[Subdomain]]) &gt; 1, 0, 1)</f>
        <v>1</v>
      </c>
      <c r="AN69" s="2" t="str">
        <f>LEFT(Calculate_Business_Metadata[[#This Row],[Business Definition (EN)]], 150)</f>
        <v>A date and time on which the data was ingested into the Data Lake.
Note:
The format is represented as 'YYYY-MM-DD hh:mm:ss'.</v>
      </c>
      <c r="AO69" s="2">
        <f ca="1">IF( COUNTIFS(AO:AO,AN69, B:B, Calculate_Business_Metadata[[#This Row],[Business Attribute Name]],L:L, Calculate_Business_Metadata[[#This Row],[Subdomain]]) &lt;&gt; 1, 0, 1)</f>
        <v>0</v>
      </c>
      <c r="AP69" s="2">
        <f>IF(COUNTIFS(B:B, Calculate_Business_Metadata[[#This Row],[Business Attribute Name]], D:D, Calculate_Business_Metadata[[#This Row],[Column Name]], AN:AN, AN69) &gt;1, 0, 1)</f>
        <v>1</v>
      </c>
      <c r="AR69" s="2">
        <f>IF(COUNTIFS('Cal_Technical - Column'!D:D, Calculate_Business_Metadata[[#This Row],[Column Name]])&gt; 0, 1, 0)</f>
        <v>1</v>
      </c>
    </row>
    <row r="70" spans="1:44" ht="112" x14ac:dyDescent="0.3">
      <c r="A70" s="74">
        <v>69</v>
      </c>
      <c r="B70" s="74" t="s">
        <v>520</v>
      </c>
      <c r="C70" s="1" t="s">
        <v>521</v>
      </c>
      <c r="D70" s="74" t="s">
        <v>473</v>
      </c>
      <c r="E70" s="74" t="s">
        <v>54</v>
      </c>
      <c r="F70" s="2" t="s">
        <v>47</v>
      </c>
      <c r="G70" s="74" t="s">
        <v>631</v>
      </c>
      <c r="H70" s="74" t="s">
        <v>113</v>
      </c>
      <c r="I70" s="74" t="s">
        <v>114</v>
      </c>
      <c r="J70" s="70">
        <v>45454</v>
      </c>
      <c r="K70" s="74" t="s">
        <v>57</v>
      </c>
      <c r="L70" s="74" t="s">
        <v>634</v>
      </c>
      <c r="N70" s="2">
        <f>IF(ISBLANK(Calculate_Business_Metadata[[#This Row],[Business Attribute Name]])=TRUE, 0, 1)</f>
        <v>1</v>
      </c>
      <c r="O70" s="2">
        <f>IF(ISBLANK(Calculate_Business_Metadata[[#This Row],[Business Definition (EN)]])=TRUE, 0, 1)</f>
        <v>1</v>
      </c>
      <c r="P70" s="2">
        <f>IF(ISBLANK(Calculate_Business_Metadata[[#This Row],[Column Name]])=TRUE, 0, 1)</f>
        <v>1</v>
      </c>
      <c r="Q70" s="2">
        <f>IF(ISBLANK(Calculate_Business_Metadata[[#This Row],[PII/Non-PII]])=TRUE, 0, 1)</f>
        <v>1</v>
      </c>
      <c r="R70" s="2" t="b">
        <f>ISERROR(FIND("-", Calculate_Business_Metadata[[#This Row],[List of Allowable Values]]))</f>
        <v>0</v>
      </c>
      <c r="S70" s="2" t="b">
        <f>ISERROR(FIND("Flag",Calculate_Business_Metadata[[#This Row],[List of Allowable Values]], 1))</f>
        <v>1</v>
      </c>
      <c r="T70" s="2" t="b">
        <f>ISERROR(FIND("In this case, the list of allowable values can be contact",Calculate_Business_Metadata[[#This Row],[List of Allowable Values]], 1))</f>
        <v>1</v>
      </c>
      <c r="U70" s="2" t="b">
        <f>ISERROR(FIND("In this case, the list of allowable values can be found",Calculate_Business_Metadata[[#This Row],[List of Allowable Values]], 1))</f>
        <v>1</v>
      </c>
      <c r="V70" s="2" t="b">
        <f>ISERROR(FIND("list of allowable values",Calculate_Business_Metadata[[#This Row],[List of Allowable Values]], 1))</f>
        <v>1</v>
      </c>
      <c r="W70" s="2">
        <f t="shared" si="2"/>
        <v>1</v>
      </c>
      <c r="X70" s="2">
        <f>IF(ISBLANK(Calculate_Business_Metadata[[#This Row],[Sample Data]])=TRUE, 0, 1)</f>
        <v>1</v>
      </c>
      <c r="Y70" s="2">
        <f>IF(ISBLANK(Calculate_Business_Metadata[[#This Row],[Business Data Steward]])=TRUE, 0, 1)</f>
        <v>1</v>
      </c>
      <c r="Z70" s="2">
        <f>IF(ISBLANK(Calculate_Business_Metadata[[#This Row],[Data Owner]])=TRUE, 0, 1)</f>
        <v>1</v>
      </c>
      <c r="AA70" s="2">
        <f>IF(ISBLANK(Calculate_Business_Metadata[[#This Row],[Updated Date]])=TRUE, 0, 1)</f>
        <v>1</v>
      </c>
      <c r="AB70" s="2">
        <f>IF(ISBLANK(Calculate_Business_Metadata[[#This Row],[Updated By]])=TRUE, 0, 1)</f>
        <v>1</v>
      </c>
      <c r="AD70" s="2">
        <f>IF(OR(
ISERROR(FIND("  ",Calculate_Business_Metadata[[#This Row],[Business Attribute Name]], 1))=FALSE,
ISERROR(FIND("_",Calculate_Business_Metadata[[#This Row],[Business Attribute Name]], 1))=FALSE)=TRUE, 0, 1)</f>
        <v>1</v>
      </c>
      <c r="AE70" s="2">
        <f>IF(OR(
ISERROR(FIND("  ",Calculate_Business_Metadata[[#This Row],[Business Definition (EN)]], 1))=FALSE,
ISERROR(FIND("__",Calculate_Business_Metadata[[#This Row],[Business Definition (EN)]], 1))=FALSE)=TRUE, 0, 1)</f>
        <v>1</v>
      </c>
      <c r="AF70" s="2">
        <f>IF(OR(
ISERROR(FIND("  ",Calculate_Business_Metadata[[#This Row],[Column Name]], 1))=FALSE,
ISERROR(FIND("__",Calculate_Business_Metadata[[#This Row],[Column Name]], 1))=FALSE)=TRUE, 0, 1)</f>
        <v>1</v>
      </c>
      <c r="AG70" s="2">
        <f>IF(OR(
ISERROR(FIND("  ",Calculate_Business_Metadata[[#This Row],[Business Data Steward]], 1))=FALSE,
ISERROR(FIND("_",Calculate_Business_Metadata[[#This Row],[Business Data Steward]], 1))=FALSE)=TRUE, 0, 1)</f>
        <v>1</v>
      </c>
      <c r="AH70" s="2">
        <f>IF(OR(
ISERROR(FIND("  ",Calculate_Business_Metadata[[#This Row],[Data Owner]], 1))=FALSE,
ISERROR(FIND("_",Calculate_Business_Metadata[[#This Row],[Data Owner]], 1))=FALSE)=TRUE, 0, 1)</f>
        <v>1</v>
      </c>
      <c r="AI70" s="2">
        <f>IF(OR(
ISERROR(FIND("  ",Calculate_Business_Metadata[[#This Row],[Updated By]], 1))=FALSE,
ISERROR(FIND("_",Calculate_Business_Metadata[[#This Row],[Updated By]], 1))=FALSE)=TRUE, 0, 1)</f>
        <v>1</v>
      </c>
      <c r="AK70" s="2">
        <f>IF(OR(ISERROR(FIND("PII",Calculate_Business_Metadata[[#This Row],[PII/Non-PII]], 1))=FALSE, ISERROR(FIND("PII",Calculate_Business_Metadata[[#This Row],[PII/Non-PII]], 1))=FALSE)=TRUE, 1, 0)</f>
        <v>1</v>
      </c>
      <c r="AM70" s="2">
        <f>IF( COUNTIFS(B:B, Calculate_Business_Metadata[[#This Row],[Business Attribute Name]], D:D, Calculate_Business_Metadata[[#This Row],[Column Name]], L:L, Calculate_Business_Metadata[[#This Row],[Subdomain]]) &gt; 1, 0, 1)</f>
        <v>1</v>
      </c>
      <c r="AN70" s="2" t="str">
        <f>LEFT(Calculate_Business_Metadata[[#This Row],[Business Definition (EN)]], 150)</f>
        <v>Account number refers to the account number of investment.The account can be for any products. (e.g. deposit, loan, investment etc.).</v>
      </c>
      <c r="AO70" s="2">
        <f ca="1">IF( COUNTIFS(AO:AO,AN70, B:B, Calculate_Business_Metadata[[#This Row],[Business Attribute Name]],L:L, Calculate_Business_Metadata[[#This Row],[Subdomain]]) &lt;&gt; 1, 0, 1)</f>
        <v>0</v>
      </c>
      <c r="AP70" s="2">
        <f>IF(COUNTIFS(B:B, Calculate_Business_Metadata[[#This Row],[Business Attribute Name]], D:D, Calculate_Business_Metadata[[#This Row],[Column Name]], AN:AN, AN70) &gt;1, 0, 1)</f>
        <v>0</v>
      </c>
      <c r="AR70" s="2">
        <f>IF(COUNTIFS('Cal_Technical - Column'!D:D, Calculate_Business_Metadata[[#This Row],[Column Name]])&gt; 0, 1, 0)</f>
        <v>1</v>
      </c>
    </row>
    <row r="71" spans="1:44" ht="112" x14ac:dyDescent="0.3">
      <c r="A71" s="74">
        <v>70</v>
      </c>
      <c r="B71" s="74" t="s">
        <v>632</v>
      </c>
      <c r="C71" s="1" t="s">
        <v>633</v>
      </c>
      <c r="D71" s="74" t="s">
        <v>621</v>
      </c>
      <c r="E71" s="74" t="s">
        <v>54</v>
      </c>
      <c r="F71" s="2" t="s">
        <v>47</v>
      </c>
      <c r="G71" s="74" t="s">
        <v>631</v>
      </c>
      <c r="H71" s="74" t="s">
        <v>113</v>
      </c>
      <c r="I71" s="74" t="s">
        <v>114</v>
      </c>
      <c r="J71" s="70">
        <v>45454</v>
      </c>
      <c r="K71" s="74" t="s">
        <v>57</v>
      </c>
      <c r="L71" s="74" t="s">
        <v>634</v>
      </c>
      <c r="N71" s="2">
        <f>IF(ISBLANK(Calculate_Business_Metadata[[#This Row],[Business Attribute Name]])=TRUE, 0, 1)</f>
        <v>1</v>
      </c>
      <c r="O71" s="2">
        <f>IF(ISBLANK(Calculate_Business_Metadata[[#This Row],[Business Definition (EN)]])=TRUE, 0, 1)</f>
        <v>1</v>
      </c>
      <c r="P71" s="2">
        <f>IF(ISBLANK(Calculate_Business_Metadata[[#This Row],[Column Name]])=TRUE, 0, 1)</f>
        <v>1</v>
      </c>
      <c r="Q71" s="2">
        <f>IF(ISBLANK(Calculate_Business_Metadata[[#This Row],[PII/Non-PII]])=TRUE, 0, 1)</f>
        <v>1</v>
      </c>
      <c r="R71" s="2" t="b">
        <f>ISERROR(FIND("-", Calculate_Business_Metadata[[#This Row],[List of Allowable Values]]))</f>
        <v>0</v>
      </c>
      <c r="S71" s="2" t="b">
        <f>ISERROR(FIND("Flag",Calculate_Business_Metadata[[#This Row],[List of Allowable Values]], 1))</f>
        <v>1</v>
      </c>
      <c r="T71" s="2" t="b">
        <f>ISERROR(FIND("In this case, the list of allowable values can be contact",Calculate_Business_Metadata[[#This Row],[List of Allowable Values]], 1))</f>
        <v>1</v>
      </c>
      <c r="U71" s="2" t="b">
        <f>ISERROR(FIND("In this case, the list of allowable values can be found",Calculate_Business_Metadata[[#This Row],[List of Allowable Values]], 1))</f>
        <v>1</v>
      </c>
      <c r="V71" s="2" t="b">
        <f>ISERROR(FIND("list of allowable values",Calculate_Business_Metadata[[#This Row],[List of Allowable Values]], 1))</f>
        <v>1</v>
      </c>
      <c r="W71" s="2">
        <f t="shared" si="2"/>
        <v>1</v>
      </c>
      <c r="X71" s="2">
        <f>IF(ISBLANK(Calculate_Business_Metadata[[#This Row],[Sample Data]])=TRUE, 0, 1)</f>
        <v>1</v>
      </c>
      <c r="Y71" s="2">
        <f>IF(ISBLANK(Calculate_Business_Metadata[[#This Row],[Business Data Steward]])=TRUE, 0, 1)</f>
        <v>1</v>
      </c>
      <c r="Z71" s="2">
        <f>IF(ISBLANK(Calculate_Business_Metadata[[#This Row],[Data Owner]])=TRUE, 0, 1)</f>
        <v>1</v>
      </c>
      <c r="AA71" s="2">
        <f>IF(ISBLANK(Calculate_Business_Metadata[[#This Row],[Updated Date]])=TRUE, 0, 1)</f>
        <v>1</v>
      </c>
      <c r="AB71" s="2">
        <f>IF(ISBLANK(Calculate_Business_Metadata[[#This Row],[Updated By]])=TRUE, 0, 1)</f>
        <v>1</v>
      </c>
      <c r="AD71" s="2">
        <f>IF(OR(
ISERROR(FIND("  ",Calculate_Business_Metadata[[#This Row],[Business Attribute Name]], 1))=FALSE,
ISERROR(FIND("_",Calculate_Business_Metadata[[#This Row],[Business Attribute Name]], 1))=FALSE)=TRUE, 0, 1)</f>
        <v>1</v>
      </c>
      <c r="AE71" s="2">
        <f>IF(OR(
ISERROR(FIND("  ",Calculate_Business_Metadata[[#This Row],[Business Definition (EN)]], 1))=FALSE,
ISERROR(FIND("__",Calculate_Business_Metadata[[#This Row],[Business Definition (EN)]], 1))=FALSE)=TRUE, 0, 1)</f>
        <v>1</v>
      </c>
      <c r="AF71" s="2">
        <f>IF(OR(
ISERROR(FIND("  ",Calculate_Business_Metadata[[#This Row],[Column Name]], 1))=FALSE,
ISERROR(FIND("__",Calculate_Business_Metadata[[#This Row],[Column Name]], 1))=FALSE)=TRUE, 0, 1)</f>
        <v>1</v>
      </c>
      <c r="AG71" s="2">
        <f>IF(OR(
ISERROR(FIND("  ",Calculate_Business_Metadata[[#This Row],[Business Data Steward]], 1))=FALSE,
ISERROR(FIND("_",Calculate_Business_Metadata[[#This Row],[Business Data Steward]], 1))=FALSE)=TRUE, 0, 1)</f>
        <v>1</v>
      </c>
      <c r="AH71" s="2">
        <f>IF(OR(
ISERROR(FIND("  ",Calculate_Business_Metadata[[#This Row],[Data Owner]], 1))=FALSE,
ISERROR(FIND("_",Calculate_Business_Metadata[[#This Row],[Data Owner]], 1))=FALSE)=TRUE, 0, 1)</f>
        <v>1</v>
      </c>
      <c r="AI71" s="2">
        <f>IF(OR(
ISERROR(FIND("  ",Calculate_Business_Metadata[[#This Row],[Updated By]], 1))=FALSE,
ISERROR(FIND("_",Calculate_Business_Metadata[[#This Row],[Updated By]], 1))=FALSE)=TRUE, 0, 1)</f>
        <v>1</v>
      </c>
      <c r="AK71" s="2">
        <f>IF(OR(ISERROR(FIND("PII",Calculate_Business_Metadata[[#This Row],[PII/Non-PII]], 1))=FALSE, ISERROR(FIND("PII",Calculate_Business_Metadata[[#This Row],[PII/Non-PII]], 1))=FALSE)=TRUE, 1, 0)</f>
        <v>1</v>
      </c>
      <c r="AM71" s="2">
        <f>IF( COUNTIFS(B:B, Calculate_Business_Metadata[[#This Row],[Business Attribute Name]], D:D, Calculate_Business_Metadata[[#This Row],[Column Name]], L:L, Calculate_Business_Metadata[[#This Row],[Subdomain]]) &gt; 1, 0, 1)</f>
        <v>1</v>
      </c>
      <c r="AN71" s="2" t="str">
        <f>LEFT(Calculate_Business_Metadata[[#This Row],[Business Definition (EN)]], 150)</f>
        <v>Sub Account number refers to the account number of investment.The account can be for any products. (e.g. deposit, loan, investment etc.).</v>
      </c>
      <c r="AO71" s="2">
        <f ca="1">IF( COUNTIFS(AO:AO,AN71, B:B, Calculate_Business_Metadata[[#This Row],[Business Attribute Name]],L:L, Calculate_Business_Metadata[[#This Row],[Subdomain]]) &lt;&gt; 1, 0, 1)</f>
        <v>0</v>
      </c>
      <c r="AP71" s="2">
        <f>IF(COUNTIFS(B:B, Calculate_Business_Metadata[[#This Row],[Business Attribute Name]], D:D, Calculate_Business_Metadata[[#This Row],[Column Name]], AN:AN, AN71) &gt;1, 0, 1)</f>
        <v>1</v>
      </c>
      <c r="AR71" s="2">
        <f>IF(COUNTIFS('Cal_Technical - Column'!D:D, Calculate_Business_Metadata[[#This Row],[Column Name]])&gt; 0, 1, 0)</f>
        <v>1</v>
      </c>
    </row>
    <row r="72" spans="1:44" ht="224" x14ac:dyDescent="0.3">
      <c r="A72" s="74">
        <v>71</v>
      </c>
      <c r="B72" s="74" t="s">
        <v>635</v>
      </c>
      <c r="C72" s="1" t="s">
        <v>636</v>
      </c>
      <c r="D72" s="74" t="s">
        <v>622</v>
      </c>
      <c r="E72" s="74" t="s">
        <v>43</v>
      </c>
      <c r="F72" s="2" t="s">
        <v>47</v>
      </c>
      <c r="G72" s="74" t="s">
        <v>637</v>
      </c>
      <c r="H72" s="74" t="s">
        <v>113</v>
      </c>
      <c r="I72" s="74" t="s">
        <v>114</v>
      </c>
      <c r="J72" s="70">
        <v>45454</v>
      </c>
      <c r="K72" s="74" t="s">
        <v>57</v>
      </c>
      <c r="L72" s="74" t="s">
        <v>634</v>
      </c>
      <c r="N72" s="2">
        <f>IF(ISBLANK(Calculate_Business_Metadata[[#This Row],[Business Attribute Name]])=TRUE, 0, 1)</f>
        <v>1</v>
      </c>
      <c r="O72" s="2">
        <f>IF(ISBLANK(Calculate_Business_Metadata[[#This Row],[Business Definition (EN)]])=TRUE, 0, 1)</f>
        <v>1</v>
      </c>
      <c r="P72" s="2">
        <f>IF(ISBLANK(Calculate_Business_Metadata[[#This Row],[Column Name]])=TRUE, 0, 1)</f>
        <v>1</v>
      </c>
      <c r="Q72" s="2">
        <f>IF(ISBLANK(Calculate_Business_Metadata[[#This Row],[PII/Non-PII]])=TRUE, 0, 1)</f>
        <v>1</v>
      </c>
      <c r="R72" s="2" t="b">
        <f>ISERROR(FIND("-", Calculate_Business_Metadata[[#This Row],[List of Allowable Values]]))</f>
        <v>0</v>
      </c>
      <c r="S72" s="2" t="b">
        <f>ISERROR(FIND("Flag",Calculate_Business_Metadata[[#This Row],[List of Allowable Values]], 1))</f>
        <v>1</v>
      </c>
      <c r="T72" s="2" t="b">
        <f>ISERROR(FIND("In this case, the list of allowable values can be contact",Calculate_Business_Metadata[[#This Row],[List of Allowable Values]], 1))</f>
        <v>1</v>
      </c>
      <c r="U72" s="2" t="b">
        <f>ISERROR(FIND("In this case, the list of allowable values can be found",Calculate_Business_Metadata[[#This Row],[List of Allowable Values]], 1))</f>
        <v>1</v>
      </c>
      <c r="V72" s="2" t="b">
        <f>ISERROR(FIND("list of allowable values",Calculate_Business_Metadata[[#This Row],[List of Allowable Values]], 1))</f>
        <v>1</v>
      </c>
      <c r="W72" s="2">
        <f t="shared" si="2"/>
        <v>1</v>
      </c>
      <c r="X72" s="2">
        <f>IF(ISBLANK(Calculate_Business_Metadata[[#This Row],[Sample Data]])=TRUE, 0, 1)</f>
        <v>1</v>
      </c>
      <c r="Y72" s="2">
        <f>IF(ISBLANK(Calculate_Business_Metadata[[#This Row],[Business Data Steward]])=TRUE, 0, 1)</f>
        <v>1</v>
      </c>
      <c r="Z72" s="2">
        <f>IF(ISBLANK(Calculate_Business_Metadata[[#This Row],[Data Owner]])=TRUE, 0, 1)</f>
        <v>1</v>
      </c>
      <c r="AA72" s="2">
        <f>IF(ISBLANK(Calculate_Business_Metadata[[#This Row],[Updated Date]])=TRUE, 0, 1)</f>
        <v>1</v>
      </c>
      <c r="AB72" s="2">
        <f>IF(ISBLANK(Calculate_Business_Metadata[[#This Row],[Updated By]])=TRUE, 0, 1)</f>
        <v>1</v>
      </c>
      <c r="AD72" s="2">
        <f>IF(OR(
ISERROR(FIND("  ",Calculate_Business_Metadata[[#This Row],[Business Attribute Name]], 1))=FALSE,
ISERROR(FIND("_",Calculate_Business_Metadata[[#This Row],[Business Attribute Name]], 1))=FALSE)=TRUE, 0, 1)</f>
        <v>1</v>
      </c>
      <c r="AE72" s="2">
        <f>IF(OR(
ISERROR(FIND("  ",Calculate_Business_Metadata[[#This Row],[Business Definition (EN)]], 1))=FALSE,
ISERROR(FIND("__",Calculate_Business_Metadata[[#This Row],[Business Definition (EN)]], 1))=FALSE)=TRUE, 0, 1)</f>
        <v>1</v>
      </c>
      <c r="AF72" s="2">
        <f>IF(OR(
ISERROR(FIND("  ",Calculate_Business_Metadata[[#This Row],[Column Name]], 1))=FALSE,
ISERROR(FIND("__",Calculate_Business_Metadata[[#This Row],[Column Name]], 1))=FALSE)=TRUE, 0, 1)</f>
        <v>1</v>
      </c>
      <c r="AG72" s="2">
        <f>IF(OR(
ISERROR(FIND("  ",Calculate_Business_Metadata[[#This Row],[Business Data Steward]], 1))=FALSE,
ISERROR(FIND("_",Calculate_Business_Metadata[[#This Row],[Business Data Steward]], 1))=FALSE)=TRUE, 0, 1)</f>
        <v>1</v>
      </c>
      <c r="AH72" s="2">
        <f>IF(OR(
ISERROR(FIND("  ",Calculate_Business_Metadata[[#This Row],[Data Owner]], 1))=FALSE,
ISERROR(FIND("_",Calculate_Business_Metadata[[#This Row],[Data Owner]], 1))=FALSE)=TRUE, 0, 1)</f>
        <v>1</v>
      </c>
      <c r="AI72" s="2">
        <f>IF(OR(
ISERROR(FIND("  ",Calculate_Business_Metadata[[#This Row],[Updated By]], 1))=FALSE,
ISERROR(FIND("_",Calculate_Business_Metadata[[#This Row],[Updated By]], 1))=FALSE)=TRUE, 0, 1)</f>
        <v>1</v>
      </c>
      <c r="AK72" s="2">
        <f>IF(OR(ISERROR(FIND("PII",Calculate_Business_Metadata[[#This Row],[PII/Non-PII]], 1))=FALSE, ISERROR(FIND("PII",Calculate_Business_Metadata[[#This Row],[PII/Non-PII]], 1))=FALSE)=TRUE, 1, 0)</f>
        <v>1</v>
      </c>
      <c r="AM72" s="2">
        <f>IF( COUNTIFS(B:B, Calculate_Business_Metadata[[#This Row],[Business Attribute Name]], D:D, Calculate_Business_Metadata[[#This Row],[Column Name]], L:L, Calculate_Business_Metadata[[#This Row],[Subdomain]]) &gt; 1, 0, 1)</f>
        <v>1</v>
      </c>
      <c r="AN72" s="2" t="str">
        <f>LEFT(Calculate_Business_Metadata[[#This Row],[Business Definition (EN)]], 150)</f>
        <v>Currency Code comprises of a 3-digit code number assigned to each country's currency specified by the International Organization for Standardization (</v>
      </c>
      <c r="AO72" s="2">
        <f ca="1">IF( COUNTIFS(AO:AO,AN72, B:B, Calculate_Business_Metadata[[#This Row],[Business Attribute Name]],L:L, Calculate_Business_Metadata[[#This Row],[Subdomain]]) &lt;&gt; 1, 0, 1)</f>
        <v>0</v>
      </c>
      <c r="AP72" s="2">
        <f>IF(COUNTIFS(B:B, Calculate_Business_Metadata[[#This Row],[Business Attribute Name]], D:D, Calculate_Business_Metadata[[#This Row],[Column Name]], AN:AN, AN72) &gt;1, 0, 1)</f>
        <v>1</v>
      </c>
      <c r="AR72" s="2">
        <f>IF(COUNTIFS('Cal_Technical - Column'!D:D, Calculate_Business_Metadata[[#This Row],[Column Name]])&gt; 0, 1, 0)</f>
        <v>1</v>
      </c>
    </row>
    <row r="73" spans="1:44" ht="28" x14ac:dyDescent="0.3">
      <c r="A73" s="74">
        <v>72</v>
      </c>
      <c r="B73" s="74" t="s">
        <v>638</v>
      </c>
      <c r="C73" s="1" t="s">
        <v>639</v>
      </c>
      <c r="D73" s="74" t="s">
        <v>623</v>
      </c>
      <c r="E73" s="74" t="s">
        <v>43</v>
      </c>
      <c r="F73" s="2" t="s">
        <v>47</v>
      </c>
      <c r="G73" s="74" t="s">
        <v>640</v>
      </c>
      <c r="H73" s="74" t="s">
        <v>113</v>
      </c>
      <c r="I73" s="74" t="s">
        <v>114</v>
      </c>
      <c r="J73" s="70">
        <v>45454</v>
      </c>
      <c r="K73" s="74" t="s">
        <v>57</v>
      </c>
      <c r="L73" s="74" t="s">
        <v>634</v>
      </c>
      <c r="N73" s="2">
        <f>IF(ISBLANK(Calculate_Business_Metadata[[#This Row],[Business Attribute Name]])=TRUE, 0, 1)</f>
        <v>1</v>
      </c>
      <c r="O73" s="2">
        <f>IF(ISBLANK(Calculate_Business_Metadata[[#This Row],[Business Definition (EN)]])=TRUE, 0, 1)</f>
        <v>1</v>
      </c>
      <c r="P73" s="2">
        <f>IF(ISBLANK(Calculate_Business_Metadata[[#This Row],[Column Name]])=TRUE, 0, 1)</f>
        <v>1</v>
      </c>
      <c r="Q73" s="2">
        <f>IF(ISBLANK(Calculate_Business_Metadata[[#This Row],[PII/Non-PII]])=TRUE, 0, 1)</f>
        <v>1</v>
      </c>
      <c r="R73" s="2" t="b">
        <f>ISERROR(FIND("-", Calculate_Business_Metadata[[#This Row],[List of Allowable Values]]))</f>
        <v>0</v>
      </c>
      <c r="S73" s="2" t="b">
        <f>ISERROR(FIND("Flag",Calculate_Business_Metadata[[#This Row],[List of Allowable Values]], 1))</f>
        <v>1</v>
      </c>
      <c r="T73" s="2" t="b">
        <f>ISERROR(FIND("In this case, the list of allowable values can be contact",Calculate_Business_Metadata[[#This Row],[List of Allowable Values]], 1))</f>
        <v>1</v>
      </c>
      <c r="U73" s="2" t="b">
        <f>ISERROR(FIND("In this case, the list of allowable values can be found",Calculate_Business_Metadata[[#This Row],[List of Allowable Values]], 1))</f>
        <v>1</v>
      </c>
      <c r="V73" s="2" t="b">
        <f>ISERROR(FIND("list of allowable values",Calculate_Business_Metadata[[#This Row],[List of Allowable Values]], 1))</f>
        <v>1</v>
      </c>
      <c r="W73" s="2">
        <f t="shared" si="2"/>
        <v>1</v>
      </c>
      <c r="X73" s="2">
        <f>IF(ISBLANK(Calculate_Business_Metadata[[#This Row],[Sample Data]])=TRUE, 0, 1)</f>
        <v>1</v>
      </c>
      <c r="Y73" s="2">
        <f>IF(ISBLANK(Calculate_Business_Metadata[[#This Row],[Business Data Steward]])=TRUE, 0, 1)</f>
        <v>1</v>
      </c>
      <c r="Z73" s="2">
        <f>IF(ISBLANK(Calculate_Business_Metadata[[#This Row],[Data Owner]])=TRUE, 0, 1)</f>
        <v>1</v>
      </c>
      <c r="AA73" s="2">
        <f>IF(ISBLANK(Calculate_Business_Metadata[[#This Row],[Updated Date]])=TRUE, 0, 1)</f>
        <v>1</v>
      </c>
      <c r="AB73" s="2">
        <f>IF(ISBLANK(Calculate_Business_Metadata[[#This Row],[Updated By]])=TRUE, 0, 1)</f>
        <v>1</v>
      </c>
      <c r="AD73" s="2">
        <f>IF(OR(
ISERROR(FIND("  ",Calculate_Business_Metadata[[#This Row],[Business Attribute Name]], 1))=FALSE,
ISERROR(FIND("_",Calculate_Business_Metadata[[#This Row],[Business Attribute Name]], 1))=FALSE)=TRUE, 0, 1)</f>
        <v>1</v>
      </c>
      <c r="AE73" s="2">
        <f>IF(OR(
ISERROR(FIND("  ",Calculate_Business_Metadata[[#This Row],[Business Definition (EN)]], 1))=FALSE,
ISERROR(FIND("__",Calculate_Business_Metadata[[#This Row],[Business Definition (EN)]], 1))=FALSE)=TRUE, 0, 1)</f>
        <v>1</v>
      </c>
      <c r="AF73" s="2">
        <f>IF(OR(
ISERROR(FIND("  ",Calculate_Business_Metadata[[#This Row],[Column Name]], 1))=FALSE,
ISERROR(FIND("__",Calculate_Business_Metadata[[#This Row],[Column Name]], 1))=FALSE)=TRUE, 0, 1)</f>
        <v>1</v>
      </c>
      <c r="AG73" s="2">
        <f>IF(OR(
ISERROR(FIND("  ",Calculate_Business_Metadata[[#This Row],[Business Data Steward]], 1))=FALSE,
ISERROR(FIND("_",Calculate_Business_Metadata[[#This Row],[Business Data Steward]], 1))=FALSE)=TRUE, 0, 1)</f>
        <v>1</v>
      </c>
      <c r="AH73" s="2">
        <f>IF(OR(
ISERROR(FIND("  ",Calculate_Business_Metadata[[#This Row],[Data Owner]], 1))=FALSE,
ISERROR(FIND("_",Calculate_Business_Metadata[[#This Row],[Data Owner]], 1))=FALSE)=TRUE, 0, 1)</f>
        <v>1</v>
      </c>
      <c r="AI73" s="2">
        <f>IF(OR(
ISERROR(FIND("  ",Calculate_Business_Metadata[[#This Row],[Updated By]], 1))=FALSE,
ISERROR(FIND("_",Calculate_Business_Metadata[[#This Row],[Updated By]], 1))=FALSE)=TRUE, 0, 1)</f>
        <v>1</v>
      </c>
      <c r="AK73" s="2">
        <f>IF(OR(ISERROR(FIND("PII",Calculate_Business_Metadata[[#This Row],[PII/Non-PII]], 1))=FALSE, ISERROR(FIND("PII",Calculate_Business_Metadata[[#This Row],[PII/Non-PII]], 1))=FALSE)=TRUE, 1, 0)</f>
        <v>1</v>
      </c>
      <c r="AM73" s="2">
        <f>IF( COUNTIFS(B:B, Calculate_Business_Metadata[[#This Row],[Business Attribute Name]], D:D, Calculate_Business_Metadata[[#This Row],[Column Name]], L:L, Calculate_Business_Metadata[[#This Row],[Subdomain]]) &gt; 1, 0, 1)</f>
        <v>1</v>
      </c>
      <c r="AN73" s="2" t="str">
        <f>LEFT(Calculate_Business_Metadata[[#This Row],[Business Definition (EN)]], 150)</f>
        <v>โบร์กเกอร์ Market Maker</v>
      </c>
      <c r="AO73" s="2">
        <f ca="1">IF( COUNTIFS(AO:AO,AN73, B:B, Calculate_Business_Metadata[[#This Row],[Business Attribute Name]],L:L, Calculate_Business_Metadata[[#This Row],[Subdomain]]) &lt;&gt; 1, 0, 1)</f>
        <v>0</v>
      </c>
      <c r="AP73" s="2">
        <f>IF(COUNTIFS(B:B, Calculate_Business_Metadata[[#This Row],[Business Attribute Name]], D:D, Calculate_Business_Metadata[[#This Row],[Column Name]], AN:AN, AN73) &gt;1, 0, 1)</f>
        <v>1</v>
      </c>
      <c r="AR73" s="2">
        <f>IF(COUNTIFS('Cal_Technical - Column'!D:D, Calculate_Business_Metadata[[#This Row],[Column Name]])&gt; 0, 1, 0)</f>
        <v>1</v>
      </c>
    </row>
    <row r="74" spans="1:44" ht="238" x14ac:dyDescent="0.3">
      <c r="A74" s="74">
        <v>73</v>
      </c>
      <c r="B74" s="74" t="s">
        <v>641</v>
      </c>
      <c r="C74" s="1" t="s">
        <v>547</v>
      </c>
      <c r="D74" s="74" t="s">
        <v>624</v>
      </c>
      <c r="E74" s="74" t="s">
        <v>43</v>
      </c>
      <c r="F74" s="2" t="s">
        <v>47</v>
      </c>
      <c r="G74" s="74" t="s">
        <v>642</v>
      </c>
      <c r="H74" s="74" t="s">
        <v>113</v>
      </c>
      <c r="I74" s="74" t="s">
        <v>114</v>
      </c>
      <c r="J74" s="70">
        <v>45454</v>
      </c>
      <c r="K74" s="74" t="s">
        <v>57</v>
      </c>
      <c r="L74" s="74" t="s">
        <v>634</v>
      </c>
      <c r="N74" s="2">
        <f>IF(ISBLANK(Calculate_Business_Metadata[[#This Row],[Business Attribute Name]])=TRUE, 0, 1)</f>
        <v>1</v>
      </c>
      <c r="O74" s="2">
        <f>IF(ISBLANK(Calculate_Business_Metadata[[#This Row],[Business Definition (EN)]])=TRUE, 0, 1)</f>
        <v>1</v>
      </c>
      <c r="P74" s="2">
        <f>IF(ISBLANK(Calculate_Business_Metadata[[#This Row],[Column Name]])=TRUE, 0, 1)</f>
        <v>1</v>
      </c>
      <c r="Q74" s="2">
        <f>IF(ISBLANK(Calculate_Business_Metadata[[#This Row],[PII/Non-PII]])=TRUE, 0, 1)</f>
        <v>1</v>
      </c>
      <c r="R74" s="2" t="b">
        <f>ISERROR(FIND("-", Calculate_Business_Metadata[[#This Row],[List of Allowable Values]]))</f>
        <v>0</v>
      </c>
      <c r="S74" s="2" t="b">
        <f>ISERROR(FIND("Flag",Calculate_Business_Metadata[[#This Row],[List of Allowable Values]], 1))</f>
        <v>1</v>
      </c>
      <c r="T74" s="2" t="b">
        <f>ISERROR(FIND("In this case, the list of allowable values can be contact",Calculate_Business_Metadata[[#This Row],[List of Allowable Values]], 1))</f>
        <v>1</v>
      </c>
      <c r="U74" s="2" t="b">
        <f>ISERROR(FIND("In this case, the list of allowable values can be found",Calculate_Business_Metadata[[#This Row],[List of Allowable Values]], 1))</f>
        <v>1</v>
      </c>
      <c r="V74" s="2" t="b">
        <f>ISERROR(FIND("list of allowable values",Calculate_Business_Metadata[[#This Row],[List of Allowable Values]], 1))</f>
        <v>1</v>
      </c>
      <c r="W74" s="2">
        <f t="shared" si="2"/>
        <v>1</v>
      </c>
      <c r="X74" s="2">
        <f>IF(ISBLANK(Calculate_Business_Metadata[[#This Row],[Sample Data]])=TRUE, 0, 1)</f>
        <v>1</v>
      </c>
      <c r="Y74" s="2">
        <f>IF(ISBLANK(Calculate_Business_Metadata[[#This Row],[Business Data Steward]])=TRUE, 0, 1)</f>
        <v>1</v>
      </c>
      <c r="Z74" s="2">
        <f>IF(ISBLANK(Calculate_Business_Metadata[[#This Row],[Data Owner]])=TRUE, 0, 1)</f>
        <v>1</v>
      </c>
      <c r="AA74" s="2">
        <f>IF(ISBLANK(Calculate_Business_Metadata[[#This Row],[Updated Date]])=TRUE, 0, 1)</f>
        <v>1</v>
      </c>
      <c r="AB74" s="2">
        <f>IF(ISBLANK(Calculate_Business_Metadata[[#This Row],[Updated By]])=TRUE, 0, 1)</f>
        <v>1</v>
      </c>
      <c r="AD74" s="2">
        <f>IF(OR(
ISERROR(FIND("  ",Calculate_Business_Metadata[[#This Row],[Business Attribute Name]], 1))=FALSE,
ISERROR(FIND("_",Calculate_Business_Metadata[[#This Row],[Business Attribute Name]], 1))=FALSE)=TRUE, 0, 1)</f>
        <v>1</v>
      </c>
      <c r="AE74" s="2">
        <f>IF(OR(
ISERROR(FIND("  ",Calculate_Business_Metadata[[#This Row],[Business Definition (EN)]], 1))=FALSE,
ISERROR(FIND("__",Calculate_Business_Metadata[[#This Row],[Business Definition (EN)]], 1))=FALSE)=TRUE, 0, 1)</f>
        <v>1</v>
      </c>
      <c r="AF74" s="2">
        <f>IF(OR(
ISERROR(FIND("  ",Calculate_Business_Metadata[[#This Row],[Column Name]], 1))=FALSE,
ISERROR(FIND("__",Calculate_Business_Metadata[[#This Row],[Column Name]], 1))=FALSE)=TRUE, 0, 1)</f>
        <v>1</v>
      </c>
      <c r="AG74" s="2">
        <f>IF(OR(
ISERROR(FIND("  ",Calculate_Business_Metadata[[#This Row],[Business Data Steward]], 1))=FALSE,
ISERROR(FIND("_",Calculate_Business_Metadata[[#This Row],[Business Data Steward]], 1))=FALSE)=TRUE, 0, 1)</f>
        <v>1</v>
      </c>
      <c r="AH74" s="2">
        <f>IF(OR(
ISERROR(FIND("  ",Calculate_Business_Metadata[[#This Row],[Data Owner]], 1))=FALSE,
ISERROR(FIND("_",Calculate_Business_Metadata[[#This Row],[Data Owner]], 1))=FALSE)=TRUE, 0, 1)</f>
        <v>1</v>
      </c>
      <c r="AI74" s="2">
        <f>IF(OR(
ISERROR(FIND("  ",Calculate_Business_Metadata[[#This Row],[Updated By]], 1))=FALSE,
ISERROR(FIND("_",Calculate_Business_Metadata[[#This Row],[Updated By]], 1))=FALSE)=TRUE, 0, 1)</f>
        <v>1</v>
      </c>
      <c r="AK74" s="2">
        <f>IF(OR(ISERROR(FIND("PII",Calculate_Business_Metadata[[#This Row],[PII/Non-PII]], 1))=FALSE, ISERROR(FIND("PII",Calculate_Business_Metadata[[#This Row],[PII/Non-PII]], 1))=FALSE)=TRUE, 1, 0)</f>
        <v>1</v>
      </c>
      <c r="AM74" s="2">
        <f>IF( COUNTIFS(B:B, Calculate_Business_Metadata[[#This Row],[Business Attribute Name]], D:D, Calculate_Business_Metadata[[#This Row],[Column Name]], L:L, Calculate_Business_Metadata[[#This Row],[Subdomain]]) &gt; 1, 0, 1)</f>
        <v>1</v>
      </c>
      <c r="AN74" s="2" t="str">
        <f>LEFT(Calculate_Business_Metadata[[#This Row],[Business Definition (EN)]], 150)</f>
        <v>Line Available is the actual buying amount at that time. or the actual value of the remaining amount Which is update in real-time, that is, when an in</v>
      </c>
      <c r="AO74" s="2">
        <f ca="1">IF( COUNTIFS(AO:AO,AN74, B:B, Calculate_Business_Metadata[[#This Row],[Business Attribute Name]],L:L, Calculate_Business_Metadata[[#This Row],[Subdomain]]) &lt;&gt; 1, 0, 1)</f>
        <v>0</v>
      </c>
      <c r="AP74" s="2">
        <f>IF(COUNTIFS(B:B, Calculate_Business_Metadata[[#This Row],[Business Attribute Name]], D:D, Calculate_Business_Metadata[[#This Row],[Column Name]], AN:AN, AN74) &gt;1, 0, 1)</f>
        <v>1</v>
      </c>
      <c r="AR74" s="2">
        <f>IF(COUNTIFS('Cal_Technical - Column'!D:D, Calculate_Business_Metadata[[#This Row],[Column Name]])&gt; 0, 1, 0)</f>
        <v>1</v>
      </c>
    </row>
    <row r="75" spans="1:44" ht="126" x14ac:dyDescent="0.3">
      <c r="A75" s="74">
        <v>74</v>
      </c>
      <c r="B75" s="74" t="s">
        <v>643</v>
      </c>
      <c r="C75" s="1" t="s">
        <v>550</v>
      </c>
      <c r="D75" s="74" t="s">
        <v>625</v>
      </c>
      <c r="E75" s="74" t="s">
        <v>43</v>
      </c>
      <c r="F75" s="2" t="s">
        <v>47</v>
      </c>
      <c r="G75" s="74" t="s">
        <v>642</v>
      </c>
      <c r="H75" s="74" t="s">
        <v>113</v>
      </c>
      <c r="I75" s="74" t="s">
        <v>114</v>
      </c>
      <c r="J75" s="70">
        <v>45454</v>
      </c>
      <c r="K75" s="74" t="s">
        <v>57</v>
      </c>
      <c r="L75" s="74" t="s">
        <v>634</v>
      </c>
      <c r="N75" s="2">
        <f>IF(ISBLANK(Calculate_Business_Metadata[[#This Row],[Business Attribute Name]])=TRUE, 0, 1)</f>
        <v>1</v>
      </c>
      <c r="O75" s="2">
        <f>IF(ISBLANK(Calculate_Business_Metadata[[#This Row],[Business Definition (EN)]])=TRUE, 0, 1)</f>
        <v>1</v>
      </c>
      <c r="P75" s="2">
        <f>IF(ISBLANK(Calculate_Business_Metadata[[#This Row],[Column Name]])=TRUE, 0, 1)</f>
        <v>1</v>
      </c>
      <c r="Q75" s="2">
        <f>IF(ISBLANK(Calculate_Business_Metadata[[#This Row],[PII/Non-PII]])=TRUE, 0, 1)</f>
        <v>1</v>
      </c>
      <c r="R75" s="2" t="b">
        <f>ISERROR(FIND("-", Calculate_Business_Metadata[[#This Row],[List of Allowable Values]]))</f>
        <v>0</v>
      </c>
      <c r="S75" s="2" t="b">
        <f>ISERROR(FIND("Flag",Calculate_Business_Metadata[[#This Row],[List of Allowable Values]], 1))</f>
        <v>1</v>
      </c>
      <c r="T75" s="2" t="b">
        <f>ISERROR(FIND("In this case, the list of allowable values can be contact",Calculate_Business_Metadata[[#This Row],[List of Allowable Values]], 1))</f>
        <v>1</v>
      </c>
      <c r="U75" s="2" t="b">
        <f>ISERROR(FIND("In this case, the list of allowable values can be found",Calculate_Business_Metadata[[#This Row],[List of Allowable Values]], 1))</f>
        <v>1</v>
      </c>
      <c r="V75" s="2" t="b">
        <f>ISERROR(FIND("list of allowable values",Calculate_Business_Metadata[[#This Row],[List of Allowable Values]], 1))</f>
        <v>1</v>
      </c>
      <c r="W75" s="2">
        <f t="shared" si="2"/>
        <v>1</v>
      </c>
      <c r="X75" s="2">
        <f>IF(ISBLANK(Calculate_Business_Metadata[[#This Row],[Sample Data]])=TRUE, 0, 1)</f>
        <v>1</v>
      </c>
      <c r="Y75" s="2">
        <f>IF(ISBLANK(Calculate_Business_Metadata[[#This Row],[Business Data Steward]])=TRUE, 0, 1)</f>
        <v>1</v>
      </c>
      <c r="Z75" s="2">
        <f>IF(ISBLANK(Calculate_Business_Metadata[[#This Row],[Data Owner]])=TRUE, 0, 1)</f>
        <v>1</v>
      </c>
      <c r="AA75" s="2">
        <f>IF(ISBLANK(Calculate_Business_Metadata[[#This Row],[Updated Date]])=TRUE, 0, 1)</f>
        <v>1</v>
      </c>
      <c r="AB75" s="2">
        <f>IF(ISBLANK(Calculate_Business_Metadata[[#This Row],[Updated By]])=TRUE, 0, 1)</f>
        <v>1</v>
      </c>
      <c r="AD75" s="2">
        <f>IF(OR(
ISERROR(FIND("  ",Calculate_Business_Metadata[[#This Row],[Business Attribute Name]], 1))=FALSE,
ISERROR(FIND("_",Calculate_Business_Metadata[[#This Row],[Business Attribute Name]], 1))=FALSE)=TRUE, 0, 1)</f>
        <v>1</v>
      </c>
      <c r="AE75" s="2">
        <f>IF(OR(
ISERROR(FIND("  ",Calculate_Business_Metadata[[#This Row],[Business Definition (EN)]], 1))=FALSE,
ISERROR(FIND("__",Calculate_Business_Metadata[[#This Row],[Business Definition (EN)]], 1))=FALSE)=TRUE, 0, 1)</f>
        <v>1</v>
      </c>
      <c r="AF75" s="2">
        <f>IF(OR(
ISERROR(FIND("  ",Calculate_Business_Metadata[[#This Row],[Column Name]], 1))=FALSE,
ISERROR(FIND("__",Calculate_Business_Metadata[[#This Row],[Column Name]], 1))=FALSE)=TRUE, 0, 1)</f>
        <v>1</v>
      </c>
      <c r="AG75" s="2">
        <f>IF(OR(
ISERROR(FIND("  ",Calculate_Business_Metadata[[#This Row],[Business Data Steward]], 1))=FALSE,
ISERROR(FIND("_",Calculate_Business_Metadata[[#This Row],[Business Data Steward]], 1))=FALSE)=TRUE, 0, 1)</f>
        <v>1</v>
      </c>
      <c r="AH75" s="2">
        <f>IF(OR(
ISERROR(FIND("  ",Calculate_Business_Metadata[[#This Row],[Data Owner]], 1))=FALSE,
ISERROR(FIND("_",Calculate_Business_Metadata[[#This Row],[Data Owner]], 1))=FALSE)=TRUE, 0, 1)</f>
        <v>1</v>
      </c>
      <c r="AI75" s="2">
        <f>IF(OR(
ISERROR(FIND("  ",Calculate_Business_Metadata[[#This Row],[Updated By]], 1))=FALSE,
ISERROR(FIND("_",Calculate_Business_Metadata[[#This Row],[Updated By]], 1))=FALSE)=TRUE, 0, 1)</f>
        <v>1</v>
      </c>
      <c r="AK75" s="2">
        <f>IF(OR(ISERROR(FIND("PII",Calculate_Business_Metadata[[#This Row],[PII/Non-PII]], 1))=FALSE, ISERROR(FIND("PII",Calculate_Business_Metadata[[#This Row],[PII/Non-PII]], 1))=FALSE)=TRUE, 1, 0)</f>
        <v>1</v>
      </c>
      <c r="AM75" s="2">
        <f>IF( COUNTIFS(B:B, Calculate_Business_Metadata[[#This Row],[Business Attribute Name]], D:D, Calculate_Business_Metadata[[#This Row],[Column Name]], L:L, Calculate_Business_Metadata[[#This Row],[Subdomain]]) &gt; 1, 0, 1)</f>
        <v>1</v>
      </c>
      <c r="AN75" s="2" t="str">
        <f>LEFT(Calculate_Business_Metadata[[#This Row],[Business Definition (EN)]], 150)</f>
        <v>Cash Balance is the cash value that can be withdrawn at that time. They are generally not updated in real-time and are slow to change due to the settl</v>
      </c>
      <c r="AO75" s="2">
        <f ca="1">IF( COUNTIFS(AO:AO,AN75, B:B, Calculate_Business_Metadata[[#This Row],[Business Attribute Name]],L:L, Calculate_Business_Metadata[[#This Row],[Subdomain]]) &lt;&gt; 1, 0, 1)</f>
        <v>0</v>
      </c>
      <c r="AP75" s="2">
        <f>IF(COUNTIFS(B:B, Calculate_Business_Metadata[[#This Row],[Business Attribute Name]], D:D, Calculate_Business_Metadata[[#This Row],[Column Name]], AN:AN, AN75) &gt;1, 0, 1)</f>
        <v>1</v>
      </c>
      <c r="AR75" s="2">
        <f>IF(COUNTIFS('Cal_Technical - Column'!D:D, Calculate_Business_Metadata[[#This Row],[Column Name]])&gt; 0, 1, 0)</f>
        <v>1</v>
      </c>
    </row>
    <row r="76" spans="1:44" ht="126" x14ac:dyDescent="0.3">
      <c r="A76" s="74">
        <v>75</v>
      </c>
      <c r="B76" s="74" t="s">
        <v>644</v>
      </c>
      <c r="C76" s="1" t="s">
        <v>645</v>
      </c>
      <c r="D76" s="74" t="s">
        <v>626</v>
      </c>
      <c r="E76" s="74" t="s">
        <v>43</v>
      </c>
      <c r="F76" s="2" t="s">
        <v>47</v>
      </c>
      <c r="G76" s="74" t="s">
        <v>646</v>
      </c>
      <c r="H76" s="74" t="s">
        <v>113</v>
      </c>
      <c r="I76" s="74" t="s">
        <v>114</v>
      </c>
      <c r="J76" s="70">
        <v>45454</v>
      </c>
      <c r="K76" s="74" t="s">
        <v>57</v>
      </c>
      <c r="L76" s="74" t="s">
        <v>634</v>
      </c>
      <c r="N76" s="2">
        <f>IF(ISBLANK(Calculate_Business_Metadata[[#This Row],[Business Attribute Name]])=TRUE, 0, 1)</f>
        <v>1</v>
      </c>
      <c r="O76" s="2">
        <f>IF(ISBLANK(Calculate_Business_Metadata[[#This Row],[Business Definition (EN)]])=TRUE, 0, 1)</f>
        <v>1</v>
      </c>
      <c r="P76" s="2">
        <f>IF(ISBLANK(Calculate_Business_Metadata[[#This Row],[Column Name]])=TRUE, 0, 1)</f>
        <v>1</v>
      </c>
      <c r="Q76" s="2">
        <f>IF(ISBLANK(Calculate_Business_Metadata[[#This Row],[PII/Non-PII]])=TRUE, 0, 1)</f>
        <v>1</v>
      </c>
      <c r="R76" s="2" t="b">
        <f>ISERROR(FIND("-", Calculate_Business_Metadata[[#This Row],[List of Allowable Values]]))</f>
        <v>0</v>
      </c>
      <c r="S76" s="2" t="b">
        <f>ISERROR(FIND("Flag",Calculate_Business_Metadata[[#This Row],[List of Allowable Values]], 1))</f>
        <v>1</v>
      </c>
      <c r="T76" s="2" t="b">
        <f>ISERROR(FIND("In this case, the list of allowable values can be contact",Calculate_Business_Metadata[[#This Row],[List of Allowable Values]], 1))</f>
        <v>1</v>
      </c>
      <c r="U76" s="2" t="b">
        <f>ISERROR(FIND("In this case, the list of allowable values can be found",Calculate_Business_Metadata[[#This Row],[List of Allowable Values]], 1))</f>
        <v>1</v>
      </c>
      <c r="V76" s="2" t="b">
        <f>ISERROR(FIND("list of allowable values",Calculate_Business_Metadata[[#This Row],[List of Allowable Values]], 1))</f>
        <v>1</v>
      </c>
      <c r="W76" s="2">
        <f>IF(OR(R76=TRUE,S76=FALSE, T76=FALSE,U76=FALSE)=TRUE, 1,
IF(AND(R76=FALSE,S76=TRUE)=TRUE, 1, 0))</f>
        <v>1</v>
      </c>
      <c r="X76" s="2">
        <f>IF(ISBLANK(Calculate_Business_Metadata[[#This Row],[Sample Data]])=TRUE, 0, 1)</f>
        <v>1</v>
      </c>
      <c r="Y76" s="2">
        <f>IF(ISBLANK(Calculate_Business_Metadata[[#This Row],[Business Data Steward]])=TRUE, 0, 1)</f>
        <v>1</v>
      </c>
      <c r="Z76" s="2">
        <f>IF(ISBLANK(Calculate_Business_Metadata[[#This Row],[Data Owner]])=TRUE, 0, 1)</f>
        <v>1</v>
      </c>
      <c r="AA76" s="2">
        <f>IF(ISBLANK(Calculate_Business_Metadata[[#This Row],[Updated Date]])=TRUE, 0, 1)</f>
        <v>1</v>
      </c>
      <c r="AB76" s="2">
        <f>IF(ISBLANK(Calculate_Business_Metadata[[#This Row],[Updated By]])=TRUE, 0, 1)</f>
        <v>1</v>
      </c>
      <c r="AD76" s="2">
        <f>IF(OR(
ISERROR(FIND("  ",Calculate_Business_Metadata[[#This Row],[Business Attribute Name]], 1))=FALSE,
ISERROR(FIND("_",Calculate_Business_Metadata[[#This Row],[Business Attribute Name]], 1))=FALSE)=TRUE, 0, 1)</f>
        <v>1</v>
      </c>
      <c r="AE76" s="2">
        <f>IF(OR(
ISERROR(FIND("  ",Calculate_Business_Metadata[[#This Row],[Business Definition (EN)]], 1))=FALSE,
ISERROR(FIND("__",Calculate_Business_Metadata[[#This Row],[Business Definition (EN)]], 1))=FALSE)=TRUE, 0, 1)</f>
        <v>1</v>
      </c>
      <c r="AF76" s="2">
        <f>IF(OR(
ISERROR(FIND("  ",Calculate_Business_Metadata[[#This Row],[Column Name]], 1))=FALSE,
ISERROR(FIND("__",Calculate_Business_Metadata[[#This Row],[Column Name]], 1))=FALSE)=TRUE, 0, 1)</f>
        <v>1</v>
      </c>
      <c r="AG76" s="2">
        <f>IF(OR(
ISERROR(FIND("  ",Calculate_Business_Metadata[[#This Row],[Business Data Steward]], 1))=FALSE,
ISERROR(FIND("_",Calculate_Business_Metadata[[#This Row],[Business Data Steward]], 1))=FALSE)=TRUE, 0, 1)</f>
        <v>1</v>
      </c>
      <c r="AH76" s="2">
        <f>IF(OR(
ISERROR(FIND("  ",Calculate_Business_Metadata[[#This Row],[Data Owner]], 1))=FALSE,
ISERROR(FIND("_",Calculate_Business_Metadata[[#This Row],[Data Owner]], 1))=FALSE)=TRUE, 0, 1)</f>
        <v>1</v>
      </c>
      <c r="AI76" s="2">
        <f>IF(OR(
ISERROR(FIND("  ",Calculate_Business_Metadata[[#This Row],[Updated By]], 1))=FALSE,
ISERROR(FIND("_",Calculate_Business_Metadata[[#This Row],[Updated By]], 1))=FALSE)=TRUE, 0, 1)</f>
        <v>1</v>
      </c>
      <c r="AK76" s="2">
        <f>IF(OR(ISERROR(FIND("PII",Calculate_Business_Metadata[[#This Row],[PII/Non-PII]], 1))=FALSE, ISERROR(FIND("PII",Calculate_Business_Metadata[[#This Row],[PII/Non-PII]], 1))=FALSE)=TRUE, 1, 0)</f>
        <v>1</v>
      </c>
      <c r="AM76" s="2">
        <f>IF( COUNTIFS(B:B, Calculate_Business_Metadata[[#This Row],[Business Attribute Name]], D:D, Calculate_Business_Metadata[[#This Row],[Column Name]], L:L, Calculate_Business_Metadata[[#This Row],[Subdomain]]) &gt; 1, 0, 1)</f>
        <v>1</v>
      </c>
      <c r="AN76" s="2" t="str">
        <f>LEFT(Calculate_Business_Metadata[[#This Row],[Business Definition (EN)]], 150)</f>
        <v>The data date on which the data has been processed and create on the Data Lake.
Note:
The format is represented as 'YYYY-MM-DD hh:mm:ss'.</v>
      </c>
      <c r="AO76" s="2">
        <f ca="1">IF( COUNTIFS(AO:AO,AN76, B:B, Calculate_Business_Metadata[[#This Row],[Business Attribute Name]],L:L, Calculate_Business_Metadata[[#This Row],[Subdomain]]) &lt;&gt; 1, 0, 1)</f>
        <v>0</v>
      </c>
      <c r="AP76" s="2">
        <f>IF(COUNTIFS(B:B, Calculate_Business_Metadata[[#This Row],[Business Attribute Name]], D:D, Calculate_Business_Metadata[[#This Row],[Column Name]], AN:AN, AN76) &gt;1, 0, 1)</f>
        <v>1</v>
      </c>
      <c r="AR76" s="2">
        <f>IF(COUNTIFS('Cal_Technical - Column'!D:D, Calculate_Business_Metadata[[#This Row],[Column Name]])&gt; 0, 1, 0)</f>
        <v>1</v>
      </c>
    </row>
    <row r="77" spans="1:44" ht="56" x14ac:dyDescent="0.3">
      <c r="A77" s="74">
        <v>76</v>
      </c>
      <c r="B77" s="74" t="s">
        <v>647</v>
      </c>
      <c r="C77" s="1" t="s">
        <v>648</v>
      </c>
      <c r="D77" s="74" t="s">
        <v>627</v>
      </c>
      <c r="E77" s="74" t="s">
        <v>43</v>
      </c>
      <c r="F77" s="2" t="s">
        <v>47</v>
      </c>
      <c r="G77" s="74" t="s">
        <v>649</v>
      </c>
      <c r="H77" s="74" t="s">
        <v>113</v>
      </c>
      <c r="I77" s="74" t="s">
        <v>114</v>
      </c>
      <c r="J77" s="70">
        <v>45454</v>
      </c>
      <c r="K77" s="74" t="s">
        <v>57</v>
      </c>
      <c r="L77" s="74" t="s">
        <v>634</v>
      </c>
      <c r="N77" s="2">
        <f>IF(ISBLANK(Calculate_Business_Metadata[[#This Row],[Business Attribute Name]])=TRUE, 0, 1)</f>
        <v>1</v>
      </c>
      <c r="O77" s="2">
        <f>IF(ISBLANK(Calculate_Business_Metadata[[#This Row],[Business Definition (EN)]])=TRUE, 0, 1)</f>
        <v>1</v>
      </c>
      <c r="P77" s="2">
        <f>IF(ISBLANK(Calculate_Business_Metadata[[#This Row],[Column Name]])=TRUE, 0, 1)</f>
        <v>1</v>
      </c>
      <c r="Q77" s="2">
        <f>IF(ISBLANK(Calculate_Business_Metadata[[#This Row],[PII/Non-PII]])=TRUE, 0, 1)</f>
        <v>1</v>
      </c>
      <c r="R77" s="2" t="b">
        <f>ISERROR(FIND("-", Calculate_Business_Metadata[[#This Row],[List of Allowable Values]]))</f>
        <v>0</v>
      </c>
      <c r="S77" s="2" t="b">
        <f>ISERROR(FIND("Flag",Calculate_Business_Metadata[[#This Row],[List of Allowable Values]], 1))</f>
        <v>1</v>
      </c>
      <c r="T77" s="2" t="b">
        <f>ISERROR(FIND("In this case, the list of allowable values can be contact",Calculate_Business_Metadata[[#This Row],[List of Allowable Values]], 1))</f>
        <v>1</v>
      </c>
      <c r="U77" s="2" t="b">
        <f>ISERROR(FIND("In this case, the list of allowable values can be found",Calculate_Business_Metadata[[#This Row],[List of Allowable Values]], 1))</f>
        <v>1</v>
      </c>
      <c r="V77" s="2" t="b">
        <f>ISERROR(FIND("list of allowable values",Calculate_Business_Metadata[[#This Row],[List of Allowable Values]], 1))</f>
        <v>1</v>
      </c>
      <c r="W77" s="2">
        <f t="shared" si="2"/>
        <v>1</v>
      </c>
      <c r="X77" s="2">
        <f>IF(ISBLANK(Calculate_Business_Metadata[[#This Row],[Sample Data]])=TRUE, 0, 1)</f>
        <v>1</v>
      </c>
      <c r="Y77" s="2">
        <f>IF(ISBLANK(Calculate_Business_Metadata[[#This Row],[Business Data Steward]])=TRUE, 0, 1)</f>
        <v>1</v>
      </c>
      <c r="Z77" s="2">
        <f>IF(ISBLANK(Calculate_Business_Metadata[[#This Row],[Data Owner]])=TRUE, 0, 1)</f>
        <v>1</v>
      </c>
      <c r="AA77" s="2">
        <f>IF(ISBLANK(Calculate_Business_Metadata[[#This Row],[Updated Date]])=TRUE, 0, 1)</f>
        <v>1</v>
      </c>
      <c r="AB77" s="2">
        <f>IF(ISBLANK(Calculate_Business_Metadata[[#This Row],[Updated By]])=TRUE, 0, 1)</f>
        <v>1</v>
      </c>
      <c r="AD77" s="2">
        <f>IF(OR(
ISERROR(FIND("  ",Calculate_Business_Metadata[[#This Row],[Business Attribute Name]], 1))=FALSE,
ISERROR(FIND("_",Calculate_Business_Metadata[[#This Row],[Business Attribute Name]], 1))=FALSE)=TRUE, 0, 1)</f>
        <v>1</v>
      </c>
      <c r="AE77" s="2">
        <f>IF(OR(
ISERROR(FIND("  ",Calculate_Business_Metadata[[#This Row],[Business Definition (EN)]], 1))=FALSE,
ISERROR(FIND("__",Calculate_Business_Metadata[[#This Row],[Business Definition (EN)]], 1))=FALSE)=TRUE, 0, 1)</f>
        <v>1</v>
      </c>
      <c r="AF77" s="2">
        <f>IF(OR(
ISERROR(FIND("  ",Calculate_Business_Metadata[[#This Row],[Column Name]], 1))=FALSE,
ISERROR(FIND("__",Calculate_Business_Metadata[[#This Row],[Column Name]], 1))=FALSE)=TRUE, 0, 1)</f>
        <v>1</v>
      </c>
      <c r="AG77" s="2">
        <f>IF(OR(
ISERROR(FIND("  ",Calculate_Business_Metadata[[#This Row],[Business Data Steward]], 1))=FALSE,
ISERROR(FIND("_",Calculate_Business_Metadata[[#This Row],[Business Data Steward]], 1))=FALSE)=TRUE, 0, 1)</f>
        <v>1</v>
      </c>
      <c r="AH77" s="2">
        <f>IF(OR(
ISERROR(FIND("  ",Calculate_Business_Metadata[[#This Row],[Data Owner]], 1))=FALSE,
ISERROR(FIND("_",Calculate_Business_Metadata[[#This Row],[Data Owner]], 1))=FALSE)=TRUE, 0, 1)</f>
        <v>1</v>
      </c>
      <c r="AI77" s="2">
        <f>IF(OR(
ISERROR(FIND("  ",Calculate_Business_Metadata[[#This Row],[Updated By]], 1))=FALSE,
ISERROR(FIND("_",Calculate_Business_Metadata[[#This Row],[Updated By]], 1))=FALSE)=TRUE, 0, 1)</f>
        <v>1</v>
      </c>
      <c r="AK77" s="2">
        <f>IF(OR(ISERROR(FIND("PII",Calculate_Business_Metadata[[#This Row],[PII/Non-PII]], 1))=FALSE, ISERROR(FIND("PII",Calculate_Business_Metadata[[#This Row],[PII/Non-PII]], 1))=FALSE)=TRUE, 1, 0)</f>
        <v>1</v>
      </c>
      <c r="AM77" s="2">
        <f>IF( COUNTIFS(B:B, Calculate_Business_Metadata[[#This Row],[Business Attribute Name]], D:D, Calculate_Business_Metadata[[#This Row],[Column Name]], L:L, Calculate_Business_Metadata[[#This Row],[Subdomain]]) &gt; 1, 0, 1)</f>
        <v>1</v>
      </c>
      <c r="AN77" s="2" t="str">
        <f>LEFT(Calculate_Business_Metadata[[#This Row],[Business Definition (EN)]], 150)</f>
        <v>Identification of the owner processed and create data to the Data Lake.</v>
      </c>
      <c r="AO77" s="2">
        <f ca="1">IF( COUNTIFS(AO:AO,AN77, B:B, Calculate_Business_Metadata[[#This Row],[Business Attribute Name]],L:L, Calculate_Business_Metadata[[#This Row],[Subdomain]]) &lt;&gt; 1, 0, 1)</f>
        <v>0</v>
      </c>
      <c r="AP77" s="2">
        <f>IF(COUNTIFS(B:B, Calculate_Business_Metadata[[#This Row],[Business Attribute Name]], D:D, Calculate_Business_Metadata[[#This Row],[Column Name]], AN:AN, AN77) &gt;1, 0, 1)</f>
        <v>1</v>
      </c>
      <c r="AR77" s="2">
        <f>IF(COUNTIFS('Cal_Technical - Column'!D:D, Calculate_Business_Metadata[[#This Row],[Column Name]])&gt; 0, 1, 0)</f>
        <v>1</v>
      </c>
    </row>
    <row r="78" spans="1:44" ht="42" x14ac:dyDescent="0.3">
      <c r="A78" s="74">
        <v>77</v>
      </c>
      <c r="B78" s="74" t="s">
        <v>726</v>
      </c>
      <c r="C78" s="1" t="s">
        <v>727</v>
      </c>
      <c r="D78" s="74" t="s">
        <v>655</v>
      </c>
      <c r="E78" s="74" t="s">
        <v>43</v>
      </c>
      <c r="F78" s="2" t="s">
        <v>47</v>
      </c>
      <c r="G78" s="74" t="s">
        <v>921</v>
      </c>
      <c r="H78" s="74" t="s">
        <v>113</v>
      </c>
      <c r="I78" s="74" t="s">
        <v>114</v>
      </c>
      <c r="J78" s="70">
        <v>45503</v>
      </c>
      <c r="K78" s="74" t="s">
        <v>57</v>
      </c>
      <c r="L78" s="74" t="s">
        <v>651</v>
      </c>
    </row>
    <row r="79" spans="1:44" ht="409.5" x14ac:dyDescent="0.3">
      <c r="A79" s="74">
        <v>78</v>
      </c>
      <c r="B79" s="74" t="s">
        <v>728</v>
      </c>
      <c r="C79" s="1" t="s">
        <v>517</v>
      </c>
      <c r="D79" s="74" t="s">
        <v>656</v>
      </c>
      <c r="E79" s="74" t="s">
        <v>54</v>
      </c>
      <c r="F79" s="2" t="s">
        <v>47</v>
      </c>
      <c r="G79" s="74" t="s">
        <v>729</v>
      </c>
      <c r="H79" s="74" t="s">
        <v>113</v>
      </c>
      <c r="I79" s="74" t="s">
        <v>114</v>
      </c>
      <c r="J79" s="70">
        <v>45503</v>
      </c>
      <c r="K79" s="74" t="s">
        <v>57</v>
      </c>
      <c r="L79" s="74" t="s">
        <v>651</v>
      </c>
    </row>
    <row r="80" spans="1:44" ht="70" x14ac:dyDescent="0.3">
      <c r="A80" s="74">
        <v>79</v>
      </c>
      <c r="B80" s="74" t="s">
        <v>730</v>
      </c>
      <c r="C80" s="1" t="s">
        <v>731</v>
      </c>
      <c r="D80" s="74" t="s">
        <v>657</v>
      </c>
      <c r="E80" s="74" t="s">
        <v>54</v>
      </c>
      <c r="F80" s="2" t="s">
        <v>47</v>
      </c>
      <c r="G80" s="74" t="s">
        <v>732</v>
      </c>
      <c r="H80" s="74" t="s">
        <v>113</v>
      </c>
      <c r="I80" s="74" t="s">
        <v>114</v>
      </c>
      <c r="J80" s="70">
        <v>45503</v>
      </c>
      <c r="K80" s="74" t="s">
        <v>57</v>
      </c>
      <c r="L80" s="74" t="s">
        <v>651</v>
      </c>
    </row>
    <row r="81" spans="1:12" ht="126" x14ac:dyDescent="0.3">
      <c r="A81" s="74">
        <v>80</v>
      </c>
      <c r="B81" s="74" t="s">
        <v>733</v>
      </c>
      <c r="C81" s="1" t="s">
        <v>734</v>
      </c>
      <c r="D81" s="74" t="s">
        <v>658</v>
      </c>
      <c r="E81" s="74" t="s">
        <v>54</v>
      </c>
      <c r="F81" s="2" t="s">
        <v>47</v>
      </c>
      <c r="G81" s="74" t="s">
        <v>735</v>
      </c>
      <c r="H81" s="74" t="s">
        <v>113</v>
      </c>
      <c r="I81" s="74" t="s">
        <v>114</v>
      </c>
      <c r="J81" s="70">
        <v>45503</v>
      </c>
      <c r="K81" s="74" t="s">
        <v>57</v>
      </c>
      <c r="L81" s="74" t="s">
        <v>651</v>
      </c>
    </row>
    <row r="82" spans="1:12" ht="409.5" x14ac:dyDescent="0.3">
      <c r="A82" s="74">
        <v>81</v>
      </c>
      <c r="B82" s="74" t="s">
        <v>736</v>
      </c>
      <c r="C82" s="1" t="s">
        <v>737</v>
      </c>
      <c r="D82" s="74" t="s">
        <v>659</v>
      </c>
      <c r="E82" s="74" t="s">
        <v>43</v>
      </c>
      <c r="F82" s="2" t="s">
        <v>47</v>
      </c>
      <c r="G82" s="74" t="s">
        <v>738</v>
      </c>
      <c r="H82" s="74" t="s">
        <v>113</v>
      </c>
      <c r="I82" s="74" t="s">
        <v>114</v>
      </c>
      <c r="J82" s="70">
        <v>45503</v>
      </c>
      <c r="K82" s="74" t="s">
        <v>57</v>
      </c>
      <c r="L82" s="74" t="s">
        <v>651</v>
      </c>
    </row>
    <row r="83" spans="1:12" ht="84" x14ac:dyDescent="0.3">
      <c r="A83" s="74">
        <v>82</v>
      </c>
      <c r="B83" s="74" t="s">
        <v>739</v>
      </c>
      <c r="C83" s="1" t="s">
        <v>740</v>
      </c>
      <c r="D83" s="74" t="s">
        <v>660</v>
      </c>
      <c r="E83" s="74" t="s">
        <v>43</v>
      </c>
      <c r="F83" s="2" t="s">
        <v>47</v>
      </c>
      <c r="G83" s="74" t="s">
        <v>741</v>
      </c>
      <c r="H83" s="74" t="s">
        <v>113</v>
      </c>
      <c r="I83" s="74" t="s">
        <v>114</v>
      </c>
      <c r="J83" s="70">
        <v>45503</v>
      </c>
      <c r="K83" s="74" t="s">
        <v>57</v>
      </c>
      <c r="L83" s="74" t="s">
        <v>651</v>
      </c>
    </row>
    <row r="84" spans="1:12" ht="56" x14ac:dyDescent="0.3">
      <c r="A84" s="74">
        <v>83</v>
      </c>
      <c r="B84" s="74" t="s">
        <v>742</v>
      </c>
      <c r="C84" s="1" t="s">
        <v>743</v>
      </c>
      <c r="D84" s="74" t="s">
        <v>661</v>
      </c>
      <c r="E84" s="74" t="s">
        <v>43</v>
      </c>
      <c r="F84" s="2" t="s">
        <v>47</v>
      </c>
      <c r="G84" s="74" t="s">
        <v>744</v>
      </c>
      <c r="H84" s="74" t="s">
        <v>113</v>
      </c>
      <c r="I84" s="74" t="s">
        <v>114</v>
      </c>
      <c r="J84" s="70">
        <v>45503</v>
      </c>
      <c r="K84" s="74" t="s">
        <v>57</v>
      </c>
      <c r="L84" s="74" t="s">
        <v>651</v>
      </c>
    </row>
    <row r="85" spans="1:12" ht="84" x14ac:dyDescent="0.3">
      <c r="A85" s="74">
        <v>84</v>
      </c>
      <c r="B85" s="74" t="s">
        <v>641</v>
      </c>
      <c r="C85" s="1" t="s">
        <v>745</v>
      </c>
      <c r="D85" s="74" t="s">
        <v>662</v>
      </c>
      <c r="E85" s="74" t="s">
        <v>43</v>
      </c>
      <c r="F85" s="2" t="s">
        <v>47</v>
      </c>
      <c r="G85" s="74" t="s">
        <v>746</v>
      </c>
      <c r="H85" s="74" t="s">
        <v>113</v>
      </c>
      <c r="I85" s="74" t="s">
        <v>114</v>
      </c>
      <c r="J85" s="70">
        <v>45503</v>
      </c>
      <c r="K85" s="74" t="s">
        <v>57</v>
      </c>
      <c r="L85" s="74" t="s">
        <v>651</v>
      </c>
    </row>
    <row r="86" spans="1:12" ht="126" x14ac:dyDescent="0.3">
      <c r="A86" s="74">
        <v>85</v>
      </c>
      <c r="B86" s="74" t="s">
        <v>747</v>
      </c>
      <c r="C86" s="1" t="s">
        <v>748</v>
      </c>
      <c r="D86" s="74" t="s">
        <v>663</v>
      </c>
      <c r="E86" s="74" t="s">
        <v>43</v>
      </c>
      <c r="F86" s="2" t="s">
        <v>47</v>
      </c>
      <c r="G86" s="74" t="s">
        <v>749</v>
      </c>
      <c r="H86" s="74" t="s">
        <v>113</v>
      </c>
      <c r="I86" s="74" t="s">
        <v>114</v>
      </c>
      <c r="J86" s="70">
        <v>45503</v>
      </c>
      <c r="K86" s="74" t="s">
        <v>57</v>
      </c>
      <c r="L86" s="74" t="s">
        <v>651</v>
      </c>
    </row>
    <row r="87" spans="1:12" ht="112" x14ac:dyDescent="0.3">
      <c r="A87" s="74">
        <v>86</v>
      </c>
      <c r="B87" s="74" t="s">
        <v>750</v>
      </c>
      <c r="C87" s="1" t="s">
        <v>751</v>
      </c>
      <c r="D87" s="74" t="s">
        <v>664</v>
      </c>
      <c r="E87" s="74" t="s">
        <v>43</v>
      </c>
      <c r="F87" s="2" t="s">
        <v>47</v>
      </c>
      <c r="G87" s="74" t="s">
        <v>752</v>
      </c>
      <c r="H87" s="74" t="s">
        <v>113</v>
      </c>
      <c r="I87" s="74" t="s">
        <v>114</v>
      </c>
      <c r="J87" s="70">
        <v>45503</v>
      </c>
      <c r="K87" s="74" t="s">
        <v>57</v>
      </c>
      <c r="L87" s="74" t="s">
        <v>651</v>
      </c>
    </row>
    <row r="88" spans="1:12" ht="28" x14ac:dyDescent="0.3">
      <c r="A88" s="74">
        <v>87</v>
      </c>
      <c r="B88" s="74" t="s">
        <v>753</v>
      </c>
      <c r="C88" s="1" t="s">
        <v>754</v>
      </c>
      <c r="D88" s="74" t="s">
        <v>665</v>
      </c>
      <c r="E88" s="74" t="s">
        <v>43</v>
      </c>
      <c r="F88" s="2" t="s">
        <v>47</v>
      </c>
      <c r="G88" s="74" t="s">
        <v>755</v>
      </c>
      <c r="H88" s="74" t="s">
        <v>113</v>
      </c>
      <c r="I88" s="74" t="s">
        <v>114</v>
      </c>
      <c r="J88" s="70">
        <v>45503</v>
      </c>
      <c r="K88" s="74" t="s">
        <v>57</v>
      </c>
      <c r="L88" s="74" t="s">
        <v>651</v>
      </c>
    </row>
    <row r="89" spans="1:12" ht="84" x14ac:dyDescent="0.3">
      <c r="A89" s="74">
        <v>88</v>
      </c>
      <c r="B89" s="74" t="s">
        <v>756</v>
      </c>
      <c r="C89" s="1" t="s">
        <v>757</v>
      </c>
      <c r="D89" s="74" t="s">
        <v>666</v>
      </c>
      <c r="E89" s="74" t="s">
        <v>43</v>
      </c>
      <c r="F89" s="2" t="s">
        <v>47</v>
      </c>
      <c r="G89" s="74" t="s">
        <v>758</v>
      </c>
      <c r="H89" s="74" t="s">
        <v>113</v>
      </c>
      <c r="I89" s="74" t="s">
        <v>114</v>
      </c>
      <c r="J89" s="70">
        <v>45503</v>
      </c>
      <c r="K89" s="74" t="s">
        <v>57</v>
      </c>
      <c r="L89" s="74" t="s">
        <v>651</v>
      </c>
    </row>
    <row r="90" spans="1:12" ht="14" x14ac:dyDescent="0.3">
      <c r="A90" s="74">
        <v>89</v>
      </c>
      <c r="B90" s="74" t="s">
        <v>759</v>
      </c>
      <c r="C90" s="1" t="s">
        <v>760</v>
      </c>
      <c r="D90" s="74" t="s">
        <v>655</v>
      </c>
      <c r="E90" s="74" t="s">
        <v>43</v>
      </c>
      <c r="F90" s="2" t="s">
        <v>47</v>
      </c>
      <c r="G90" s="74" t="s">
        <v>921</v>
      </c>
      <c r="H90" s="74" t="s">
        <v>113</v>
      </c>
      <c r="I90" s="74" t="s">
        <v>114</v>
      </c>
      <c r="J90" s="70">
        <v>45503</v>
      </c>
      <c r="K90" s="74" t="s">
        <v>57</v>
      </c>
      <c r="L90" s="74" t="s">
        <v>653</v>
      </c>
    </row>
    <row r="91" spans="1:12" ht="28" x14ac:dyDescent="0.3">
      <c r="A91" s="74">
        <v>90</v>
      </c>
      <c r="B91" s="74" t="s">
        <v>761</v>
      </c>
      <c r="C91" s="1" t="s">
        <v>762</v>
      </c>
      <c r="D91" s="74" t="s">
        <v>667</v>
      </c>
      <c r="E91" s="74" t="s">
        <v>54</v>
      </c>
      <c r="F91" s="2" t="s">
        <v>47</v>
      </c>
      <c r="G91" s="74" t="s">
        <v>763</v>
      </c>
      <c r="H91" s="74" t="s">
        <v>113</v>
      </c>
      <c r="I91" s="74" t="s">
        <v>114</v>
      </c>
      <c r="J91" s="70">
        <v>45503</v>
      </c>
      <c r="K91" s="74" t="s">
        <v>57</v>
      </c>
      <c r="L91" s="74" t="s">
        <v>653</v>
      </c>
    </row>
    <row r="92" spans="1:12" ht="56" x14ac:dyDescent="0.3">
      <c r="A92" s="74">
        <v>91</v>
      </c>
      <c r="B92" s="74" t="s">
        <v>764</v>
      </c>
      <c r="C92" s="1" t="s">
        <v>765</v>
      </c>
      <c r="D92" s="74" t="s">
        <v>668</v>
      </c>
      <c r="E92" s="74" t="s">
        <v>54</v>
      </c>
      <c r="F92" s="2" t="s">
        <v>47</v>
      </c>
      <c r="G92" s="74" t="s">
        <v>766</v>
      </c>
      <c r="H92" s="74" t="s">
        <v>113</v>
      </c>
      <c r="I92" s="74" t="s">
        <v>114</v>
      </c>
      <c r="J92" s="70">
        <v>45503</v>
      </c>
      <c r="K92" s="74" t="s">
        <v>57</v>
      </c>
      <c r="L92" s="74" t="s">
        <v>653</v>
      </c>
    </row>
    <row r="93" spans="1:12" ht="28" x14ac:dyDescent="0.3">
      <c r="A93" s="74">
        <v>92</v>
      </c>
      <c r="B93" s="74" t="s">
        <v>767</v>
      </c>
      <c r="C93" s="1" t="s">
        <v>768</v>
      </c>
      <c r="D93" s="74" t="s">
        <v>669</v>
      </c>
      <c r="E93" s="74" t="s">
        <v>54</v>
      </c>
      <c r="F93" s="2" t="s">
        <v>47</v>
      </c>
      <c r="G93" s="74" t="s">
        <v>769</v>
      </c>
      <c r="H93" s="74" t="s">
        <v>113</v>
      </c>
      <c r="I93" s="74" t="s">
        <v>114</v>
      </c>
      <c r="J93" s="70">
        <v>45503</v>
      </c>
      <c r="K93" s="74" t="s">
        <v>57</v>
      </c>
      <c r="L93" s="74" t="s">
        <v>653</v>
      </c>
    </row>
    <row r="94" spans="1:12" ht="70" x14ac:dyDescent="0.3">
      <c r="A94" s="74">
        <v>93</v>
      </c>
      <c r="B94" s="74" t="s">
        <v>770</v>
      </c>
      <c r="C94" s="1" t="s">
        <v>771</v>
      </c>
      <c r="D94" s="74" t="s">
        <v>670</v>
      </c>
      <c r="E94" s="74" t="s">
        <v>43</v>
      </c>
      <c r="F94" s="2" t="s">
        <v>47</v>
      </c>
      <c r="G94" s="74" t="s">
        <v>772</v>
      </c>
      <c r="H94" s="74" t="s">
        <v>113</v>
      </c>
      <c r="I94" s="74" t="s">
        <v>114</v>
      </c>
      <c r="J94" s="70">
        <v>45503</v>
      </c>
      <c r="K94" s="74" t="s">
        <v>57</v>
      </c>
      <c r="L94" s="74" t="s">
        <v>653</v>
      </c>
    </row>
    <row r="95" spans="1:12" ht="409.5" x14ac:dyDescent="0.3">
      <c r="A95" s="74">
        <v>94</v>
      </c>
      <c r="B95" s="74" t="s">
        <v>728</v>
      </c>
      <c r="C95" s="1" t="s">
        <v>773</v>
      </c>
      <c r="D95" s="74" t="s">
        <v>656</v>
      </c>
      <c r="E95" s="74" t="s">
        <v>43</v>
      </c>
      <c r="F95" s="2" t="s">
        <v>47</v>
      </c>
      <c r="G95" s="74" t="s">
        <v>774</v>
      </c>
      <c r="H95" s="74" t="s">
        <v>113</v>
      </c>
      <c r="I95" s="74" t="s">
        <v>114</v>
      </c>
      <c r="J95" s="70">
        <v>45503</v>
      </c>
      <c r="K95" s="74" t="s">
        <v>57</v>
      </c>
      <c r="L95" s="74" t="s">
        <v>653</v>
      </c>
    </row>
    <row r="96" spans="1:12" ht="42" x14ac:dyDescent="0.3">
      <c r="A96" s="74">
        <v>95</v>
      </c>
      <c r="B96" s="74" t="s">
        <v>730</v>
      </c>
      <c r="C96" s="1" t="s">
        <v>775</v>
      </c>
      <c r="D96" s="74" t="s">
        <v>657</v>
      </c>
      <c r="E96" s="74" t="s">
        <v>43</v>
      </c>
      <c r="F96" s="2" t="s">
        <v>47</v>
      </c>
      <c r="G96" s="74" t="s">
        <v>776</v>
      </c>
      <c r="H96" s="74" t="s">
        <v>113</v>
      </c>
      <c r="I96" s="74" t="s">
        <v>114</v>
      </c>
      <c r="J96" s="70">
        <v>45503</v>
      </c>
      <c r="K96" s="74" t="s">
        <v>57</v>
      </c>
      <c r="L96" s="74" t="s">
        <v>653</v>
      </c>
    </row>
    <row r="97" spans="1:12" ht="409.5" x14ac:dyDescent="0.3">
      <c r="A97" s="74">
        <v>96</v>
      </c>
      <c r="B97" s="74" t="s">
        <v>736</v>
      </c>
      <c r="C97" s="1" t="s">
        <v>737</v>
      </c>
      <c r="D97" s="74" t="s">
        <v>659</v>
      </c>
      <c r="E97" s="74" t="s">
        <v>43</v>
      </c>
      <c r="F97" s="2" t="s">
        <v>777</v>
      </c>
      <c r="G97" s="74" t="s">
        <v>778</v>
      </c>
      <c r="H97" s="74" t="s">
        <v>113</v>
      </c>
      <c r="I97" s="74" t="s">
        <v>114</v>
      </c>
      <c r="J97" s="70">
        <v>45503</v>
      </c>
      <c r="K97" s="74" t="s">
        <v>57</v>
      </c>
      <c r="L97" s="74" t="s">
        <v>653</v>
      </c>
    </row>
    <row r="98" spans="1:12" ht="140" x14ac:dyDescent="0.3">
      <c r="A98" s="74">
        <v>97</v>
      </c>
      <c r="B98" s="74" t="s">
        <v>733</v>
      </c>
      <c r="C98" s="1" t="s">
        <v>779</v>
      </c>
      <c r="D98" s="74" t="s">
        <v>658</v>
      </c>
      <c r="E98" s="74" t="s">
        <v>43</v>
      </c>
      <c r="F98" s="2" t="s">
        <v>47</v>
      </c>
      <c r="G98" s="74" t="s">
        <v>780</v>
      </c>
      <c r="H98" s="74" t="s">
        <v>113</v>
      </c>
      <c r="I98" s="74" t="s">
        <v>114</v>
      </c>
      <c r="J98" s="70">
        <v>45503</v>
      </c>
      <c r="K98" s="74" t="s">
        <v>57</v>
      </c>
      <c r="L98" s="74" t="s">
        <v>653</v>
      </c>
    </row>
    <row r="99" spans="1:12" ht="56" x14ac:dyDescent="0.3">
      <c r="A99" s="74">
        <v>98</v>
      </c>
      <c r="B99" s="74" t="s">
        <v>781</v>
      </c>
      <c r="C99" s="1" t="s">
        <v>782</v>
      </c>
      <c r="D99" s="74" t="s">
        <v>671</v>
      </c>
      <c r="E99" s="74" t="s">
        <v>43</v>
      </c>
      <c r="F99" s="2" t="s">
        <v>47</v>
      </c>
      <c r="G99" s="74" t="s">
        <v>783</v>
      </c>
      <c r="H99" s="74" t="s">
        <v>113</v>
      </c>
      <c r="I99" s="74" t="s">
        <v>114</v>
      </c>
      <c r="J99" s="70">
        <v>45503</v>
      </c>
      <c r="K99" s="74" t="s">
        <v>57</v>
      </c>
      <c r="L99" s="74" t="s">
        <v>653</v>
      </c>
    </row>
    <row r="100" spans="1:12" ht="84" x14ac:dyDescent="0.3">
      <c r="A100" s="74">
        <v>99</v>
      </c>
      <c r="B100" s="74" t="s">
        <v>739</v>
      </c>
      <c r="C100" s="1" t="s">
        <v>784</v>
      </c>
      <c r="D100" s="74" t="s">
        <v>660</v>
      </c>
      <c r="E100" s="74" t="s">
        <v>43</v>
      </c>
      <c r="F100" s="2" t="s">
        <v>785</v>
      </c>
      <c r="G100" s="74" t="s">
        <v>786</v>
      </c>
      <c r="H100" s="74" t="s">
        <v>113</v>
      </c>
      <c r="I100" s="74" t="s">
        <v>114</v>
      </c>
      <c r="J100" s="70">
        <v>45503</v>
      </c>
      <c r="K100" s="74" t="s">
        <v>57</v>
      </c>
      <c r="L100" s="74" t="s">
        <v>653</v>
      </c>
    </row>
    <row r="101" spans="1:12" ht="70" x14ac:dyDescent="0.3">
      <c r="A101" s="74">
        <v>100</v>
      </c>
      <c r="B101" s="74" t="s">
        <v>787</v>
      </c>
      <c r="C101" s="1" t="s">
        <v>788</v>
      </c>
      <c r="D101" s="74" t="s">
        <v>672</v>
      </c>
      <c r="E101" s="74" t="s">
        <v>43</v>
      </c>
      <c r="F101" s="2" t="s">
        <v>47</v>
      </c>
      <c r="G101" s="74" t="s">
        <v>789</v>
      </c>
      <c r="H101" s="74" t="s">
        <v>113</v>
      </c>
      <c r="I101" s="74" t="s">
        <v>114</v>
      </c>
      <c r="J101" s="70">
        <v>45503</v>
      </c>
      <c r="K101" s="74" t="s">
        <v>57</v>
      </c>
      <c r="L101" s="74" t="s">
        <v>653</v>
      </c>
    </row>
    <row r="102" spans="1:12" ht="56" x14ac:dyDescent="0.3">
      <c r="A102" s="74">
        <v>101</v>
      </c>
      <c r="B102" s="74" t="s">
        <v>673</v>
      </c>
      <c r="C102" s="1" t="s">
        <v>790</v>
      </c>
      <c r="D102" s="74" t="s">
        <v>673</v>
      </c>
      <c r="E102" s="74" t="s">
        <v>43</v>
      </c>
      <c r="F102" s="2" t="s">
        <v>47</v>
      </c>
      <c r="G102" s="74" t="s">
        <v>789</v>
      </c>
      <c r="H102" s="74" t="s">
        <v>113</v>
      </c>
      <c r="I102" s="74" t="s">
        <v>114</v>
      </c>
      <c r="J102" s="70">
        <v>45503</v>
      </c>
      <c r="K102" s="74" t="s">
        <v>57</v>
      </c>
      <c r="L102" s="74" t="s">
        <v>653</v>
      </c>
    </row>
    <row r="103" spans="1:12" ht="84" x14ac:dyDescent="0.3">
      <c r="A103" s="74">
        <v>102</v>
      </c>
      <c r="B103" s="74" t="s">
        <v>791</v>
      </c>
      <c r="C103" s="1" t="s">
        <v>792</v>
      </c>
      <c r="D103" s="74" t="s">
        <v>674</v>
      </c>
      <c r="E103" s="74" t="s">
        <v>43</v>
      </c>
      <c r="F103" s="2" t="s">
        <v>47</v>
      </c>
      <c r="G103" s="74" t="s">
        <v>793</v>
      </c>
      <c r="H103" s="74" t="s">
        <v>113</v>
      </c>
      <c r="I103" s="74" t="s">
        <v>114</v>
      </c>
      <c r="J103" s="70">
        <v>45503</v>
      </c>
      <c r="K103" s="74" t="s">
        <v>57</v>
      </c>
      <c r="L103" s="74" t="s">
        <v>653</v>
      </c>
    </row>
    <row r="104" spans="1:12" ht="70" x14ac:dyDescent="0.3">
      <c r="A104" s="74">
        <v>103</v>
      </c>
      <c r="B104" s="74" t="s">
        <v>794</v>
      </c>
      <c r="C104" s="1" t="s">
        <v>795</v>
      </c>
      <c r="D104" s="74" t="s">
        <v>675</v>
      </c>
      <c r="E104" s="74" t="s">
        <v>43</v>
      </c>
      <c r="F104" s="2" t="s">
        <v>47</v>
      </c>
      <c r="G104" s="74" t="s">
        <v>796</v>
      </c>
      <c r="H104" s="74" t="s">
        <v>113</v>
      </c>
      <c r="I104" s="74" t="s">
        <v>114</v>
      </c>
      <c r="J104" s="70">
        <v>45503</v>
      </c>
      <c r="K104" s="74" t="s">
        <v>57</v>
      </c>
      <c r="L104" s="74" t="s">
        <v>653</v>
      </c>
    </row>
    <row r="105" spans="1:12" ht="28" x14ac:dyDescent="0.3">
      <c r="A105" s="74">
        <v>104</v>
      </c>
      <c r="B105" s="74" t="s">
        <v>797</v>
      </c>
      <c r="C105" s="1" t="s">
        <v>798</v>
      </c>
      <c r="D105" s="74" t="s">
        <v>676</v>
      </c>
      <c r="E105" s="74" t="s">
        <v>43</v>
      </c>
      <c r="F105" s="2" t="s">
        <v>47</v>
      </c>
      <c r="G105" s="74" t="s">
        <v>799</v>
      </c>
      <c r="H105" s="74" t="s">
        <v>113</v>
      </c>
      <c r="I105" s="74" t="s">
        <v>114</v>
      </c>
      <c r="J105" s="70">
        <v>45503</v>
      </c>
      <c r="K105" s="74" t="s">
        <v>57</v>
      </c>
      <c r="L105" s="74" t="s">
        <v>653</v>
      </c>
    </row>
    <row r="106" spans="1:12" ht="409.5" x14ac:dyDescent="0.3">
      <c r="A106" s="74">
        <v>105</v>
      </c>
      <c r="B106" s="74" t="s">
        <v>800</v>
      </c>
      <c r="C106" s="1" t="s">
        <v>801</v>
      </c>
      <c r="D106" s="74" t="s">
        <v>677</v>
      </c>
      <c r="E106" s="74" t="s">
        <v>43</v>
      </c>
      <c r="F106" s="2" t="s">
        <v>47</v>
      </c>
      <c r="G106" s="74" t="s">
        <v>802</v>
      </c>
      <c r="H106" s="74" t="s">
        <v>113</v>
      </c>
      <c r="I106" s="74" t="s">
        <v>114</v>
      </c>
      <c r="J106" s="70">
        <v>45503</v>
      </c>
      <c r="K106" s="74" t="s">
        <v>57</v>
      </c>
      <c r="L106" s="74" t="s">
        <v>653</v>
      </c>
    </row>
    <row r="107" spans="1:12" ht="28" x14ac:dyDescent="0.3">
      <c r="A107" s="74">
        <v>106</v>
      </c>
      <c r="B107" s="74" t="s">
        <v>803</v>
      </c>
      <c r="C107" s="1" t="s">
        <v>804</v>
      </c>
      <c r="D107" s="74" t="s">
        <v>678</v>
      </c>
      <c r="E107" s="74" t="s">
        <v>43</v>
      </c>
      <c r="F107" s="2" t="s">
        <v>47</v>
      </c>
      <c r="G107" s="74" t="s">
        <v>805</v>
      </c>
      <c r="H107" s="74" t="s">
        <v>113</v>
      </c>
      <c r="I107" s="74" t="s">
        <v>114</v>
      </c>
      <c r="J107" s="70">
        <v>45503</v>
      </c>
      <c r="K107" s="74" t="s">
        <v>57</v>
      </c>
      <c r="L107" s="74" t="s">
        <v>653</v>
      </c>
    </row>
    <row r="108" spans="1:12" ht="14" x14ac:dyDescent="0.3">
      <c r="A108" s="74">
        <v>107</v>
      </c>
      <c r="B108" s="74" t="s">
        <v>806</v>
      </c>
      <c r="C108" s="1" t="s">
        <v>807</v>
      </c>
      <c r="D108" s="74" t="s">
        <v>679</v>
      </c>
      <c r="E108" s="74" t="s">
        <v>43</v>
      </c>
      <c r="F108" s="2" t="s">
        <v>47</v>
      </c>
      <c r="G108" s="74" t="s">
        <v>808</v>
      </c>
      <c r="H108" s="74" t="s">
        <v>113</v>
      </c>
      <c r="I108" s="74" t="s">
        <v>114</v>
      </c>
      <c r="J108" s="70">
        <v>45503</v>
      </c>
      <c r="K108" s="74" t="s">
        <v>57</v>
      </c>
      <c r="L108" s="74" t="s">
        <v>653</v>
      </c>
    </row>
    <row r="109" spans="1:12" ht="42" x14ac:dyDescent="0.3">
      <c r="A109" s="74">
        <v>108</v>
      </c>
      <c r="B109" s="74" t="s">
        <v>809</v>
      </c>
      <c r="C109" s="1" t="s">
        <v>810</v>
      </c>
      <c r="D109" s="74" t="s">
        <v>680</v>
      </c>
      <c r="E109" s="74" t="s">
        <v>43</v>
      </c>
      <c r="F109" s="2" t="s">
        <v>47</v>
      </c>
      <c r="G109" s="74" t="s">
        <v>811</v>
      </c>
      <c r="H109" s="74" t="s">
        <v>113</v>
      </c>
      <c r="I109" s="74" t="s">
        <v>114</v>
      </c>
      <c r="J109" s="70">
        <v>45503</v>
      </c>
      <c r="K109" s="74" t="s">
        <v>57</v>
      </c>
      <c r="L109" s="74" t="s">
        <v>653</v>
      </c>
    </row>
    <row r="110" spans="1:12" ht="28" x14ac:dyDescent="0.3">
      <c r="A110" s="74">
        <v>109</v>
      </c>
      <c r="B110" s="74" t="s">
        <v>812</v>
      </c>
      <c r="C110" s="1" t="s">
        <v>813</v>
      </c>
      <c r="D110" s="74" t="s">
        <v>681</v>
      </c>
      <c r="E110" s="74" t="s">
        <v>54</v>
      </c>
      <c r="F110" s="2" t="s">
        <v>47</v>
      </c>
      <c r="G110" s="74" t="s">
        <v>814</v>
      </c>
      <c r="H110" s="74" t="s">
        <v>113</v>
      </c>
      <c r="I110" s="74" t="s">
        <v>114</v>
      </c>
      <c r="J110" s="70">
        <v>45503</v>
      </c>
      <c r="K110" s="74" t="s">
        <v>57</v>
      </c>
      <c r="L110" s="74" t="s">
        <v>653</v>
      </c>
    </row>
    <row r="111" spans="1:12" ht="28" x14ac:dyDescent="0.3">
      <c r="A111" s="74">
        <v>110</v>
      </c>
      <c r="B111" s="74" t="s">
        <v>815</v>
      </c>
      <c r="C111" s="1" t="s">
        <v>816</v>
      </c>
      <c r="D111" s="74" t="s">
        <v>682</v>
      </c>
      <c r="E111" s="74" t="s">
        <v>43</v>
      </c>
      <c r="F111" s="2" t="s">
        <v>47</v>
      </c>
      <c r="G111" s="74" t="s">
        <v>805</v>
      </c>
      <c r="H111" s="74" t="s">
        <v>113</v>
      </c>
      <c r="I111" s="74" t="s">
        <v>114</v>
      </c>
      <c r="J111" s="70">
        <v>45503</v>
      </c>
      <c r="K111" s="74" t="s">
        <v>57</v>
      </c>
      <c r="L111" s="74" t="s">
        <v>653</v>
      </c>
    </row>
    <row r="112" spans="1:12" ht="14" x14ac:dyDescent="0.3">
      <c r="A112" s="74">
        <v>111</v>
      </c>
      <c r="B112" s="74" t="s">
        <v>817</v>
      </c>
      <c r="C112" s="1" t="s">
        <v>818</v>
      </c>
      <c r="D112" s="74" t="s">
        <v>683</v>
      </c>
      <c r="E112" s="74" t="s">
        <v>43</v>
      </c>
      <c r="F112" s="2" t="s">
        <v>47</v>
      </c>
      <c r="G112" s="74" t="s">
        <v>819</v>
      </c>
      <c r="H112" s="74" t="s">
        <v>113</v>
      </c>
      <c r="I112" s="74" t="s">
        <v>114</v>
      </c>
      <c r="J112" s="70">
        <v>45503</v>
      </c>
      <c r="K112" s="74" t="s">
        <v>57</v>
      </c>
      <c r="L112" s="74" t="s">
        <v>653</v>
      </c>
    </row>
    <row r="113" spans="1:12" ht="28" x14ac:dyDescent="0.3">
      <c r="A113" s="74">
        <v>112</v>
      </c>
      <c r="B113" s="74" t="s">
        <v>820</v>
      </c>
      <c r="C113" s="1" t="s">
        <v>821</v>
      </c>
      <c r="D113" s="74" t="s">
        <v>684</v>
      </c>
      <c r="E113" s="74" t="s">
        <v>43</v>
      </c>
      <c r="F113" s="2" t="s">
        <v>47</v>
      </c>
      <c r="G113" s="74" t="s">
        <v>822</v>
      </c>
      <c r="H113" s="74" t="s">
        <v>113</v>
      </c>
      <c r="I113" s="74" t="s">
        <v>114</v>
      </c>
      <c r="J113" s="70">
        <v>45503</v>
      </c>
      <c r="K113" s="74" t="s">
        <v>57</v>
      </c>
      <c r="L113" s="74" t="s">
        <v>653</v>
      </c>
    </row>
    <row r="114" spans="1:12" ht="70" x14ac:dyDescent="0.3">
      <c r="A114" s="74">
        <v>113</v>
      </c>
      <c r="B114" s="74" t="s">
        <v>823</v>
      </c>
      <c r="C114" s="1" t="s">
        <v>824</v>
      </c>
      <c r="D114" s="74" t="s">
        <v>685</v>
      </c>
      <c r="E114" s="74" t="s">
        <v>43</v>
      </c>
      <c r="F114" s="2" t="s">
        <v>47</v>
      </c>
      <c r="G114" s="74" t="s">
        <v>825</v>
      </c>
      <c r="H114" s="74" t="s">
        <v>113</v>
      </c>
      <c r="I114" s="74" t="s">
        <v>114</v>
      </c>
      <c r="J114" s="70">
        <v>45503</v>
      </c>
      <c r="K114" s="74" t="s">
        <v>57</v>
      </c>
      <c r="L114" s="74" t="s">
        <v>653</v>
      </c>
    </row>
    <row r="115" spans="1:12" ht="56" x14ac:dyDescent="0.3">
      <c r="A115" s="74">
        <v>114</v>
      </c>
      <c r="B115" s="74" t="s">
        <v>826</v>
      </c>
      <c r="C115" s="1" t="s">
        <v>827</v>
      </c>
      <c r="D115" s="74" t="s">
        <v>686</v>
      </c>
      <c r="E115" s="74" t="s">
        <v>43</v>
      </c>
      <c r="F115" s="2" t="s">
        <v>47</v>
      </c>
      <c r="G115" s="74" t="s">
        <v>828</v>
      </c>
      <c r="H115" s="74" t="s">
        <v>113</v>
      </c>
      <c r="I115" s="74" t="s">
        <v>114</v>
      </c>
      <c r="J115" s="70">
        <v>45503</v>
      </c>
      <c r="K115" s="74" t="s">
        <v>57</v>
      </c>
      <c r="L115" s="74" t="s">
        <v>653</v>
      </c>
    </row>
    <row r="116" spans="1:12" ht="28" x14ac:dyDescent="0.3">
      <c r="A116" s="74">
        <v>115</v>
      </c>
      <c r="B116" s="74" t="s">
        <v>829</v>
      </c>
      <c r="C116" s="1" t="s">
        <v>830</v>
      </c>
      <c r="D116" s="74" t="s">
        <v>687</v>
      </c>
      <c r="E116" s="74" t="s">
        <v>43</v>
      </c>
      <c r="F116" s="2" t="s">
        <v>47</v>
      </c>
      <c r="G116" s="74" t="s">
        <v>831</v>
      </c>
      <c r="H116" s="74" t="s">
        <v>113</v>
      </c>
      <c r="I116" s="74" t="s">
        <v>114</v>
      </c>
      <c r="J116" s="70">
        <v>45503</v>
      </c>
      <c r="K116" s="74" t="s">
        <v>57</v>
      </c>
      <c r="L116" s="74" t="s">
        <v>653</v>
      </c>
    </row>
    <row r="117" spans="1:12" ht="14" x14ac:dyDescent="0.3">
      <c r="A117" s="74">
        <v>116</v>
      </c>
      <c r="B117" s="74" t="s">
        <v>832</v>
      </c>
      <c r="C117" s="1" t="s">
        <v>833</v>
      </c>
      <c r="D117" s="74" t="s">
        <v>688</v>
      </c>
      <c r="E117" s="74" t="s">
        <v>43</v>
      </c>
      <c r="F117" s="2" t="s">
        <v>47</v>
      </c>
      <c r="G117" s="74" t="s">
        <v>834</v>
      </c>
      <c r="H117" s="74" t="s">
        <v>113</v>
      </c>
      <c r="I117" s="74" t="s">
        <v>114</v>
      </c>
      <c r="J117" s="70">
        <v>45503</v>
      </c>
      <c r="K117" s="74" t="s">
        <v>57</v>
      </c>
      <c r="L117" s="74" t="s">
        <v>653</v>
      </c>
    </row>
    <row r="118" spans="1:12" ht="14" x14ac:dyDescent="0.3">
      <c r="A118" s="74">
        <v>117</v>
      </c>
      <c r="B118" s="74" t="s">
        <v>835</v>
      </c>
      <c r="C118" s="1" t="s">
        <v>836</v>
      </c>
      <c r="D118" s="74" t="s">
        <v>689</v>
      </c>
      <c r="E118" s="74" t="s">
        <v>43</v>
      </c>
      <c r="F118" s="2" t="s">
        <v>47</v>
      </c>
      <c r="G118" s="74" t="s">
        <v>837</v>
      </c>
      <c r="H118" s="74" t="s">
        <v>113</v>
      </c>
      <c r="I118" s="74" t="s">
        <v>114</v>
      </c>
      <c r="J118" s="70">
        <v>45503</v>
      </c>
      <c r="K118" s="74" t="s">
        <v>57</v>
      </c>
      <c r="L118" s="74" t="s">
        <v>653</v>
      </c>
    </row>
    <row r="119" spans="1:12" ht="42" x14ac:dyDescent="0.3">
      <c r="A119" s="74">
        <v>118</v>
      </c>
      <c r="B119" s="74" t="s">
        <v>838</v>
      </c>
      <c r="C119" s="1" t="s">
        <v>839</v>
      </c>
      <c r="D119" s="74" t="s">
        <v>690</v>
      </c>
      <c r="E119" s="74" t="s">
        <v>43</v>
      </c>
      <c r="F119" s="2" t="s">
        <v>47</v>
      </c>
      <c r="G119" s="74" t="s">
        <v>840</v>
      </c>
      <c r="H119" s="74" t="s">
        <v>113</v>
      </c>
      <c r="I119" s="74" t="s">
        <v>114</v>
      </c>
      <c r="J119" s="70">
        <v>45503</v>
      </c>
      <c r="K119" s="74" t="s">
        <v>57</v>
      </c>
      <c r="L119" s="74" t="s">
        <v>653</v>
      </c>
    </row>
    <row r="120" spans="1:12" ht="28" x14ac:dyDescent="0.3">
      <c r="A120" s="74">
        <v>119</v>
      </c>
      <c r="B120" s="74" t="s">
        <v>841</v>
      </c>
      <c r="C120" s="1" t="s">
        <v>842</v>
      </c>
      <c r="D120" s="74" t="s">
        <v>691</v>
      </c>
      <c r="E120" s="74" t="s">
        <v>43</v>
      </c>
      <c r="F120" s="2" t="s">
        <v>47</v>
      </c>
      <c r="G120" s="74" t="s">
        <v>68</v>
      </c>
      <c r="H120" s="74" t="s">
        <v>113</v>
      </c>
      <c r="I120" s="74" t="s">
        <v>114</v>
      </c>
      <c r="J120" s="70">
        <v>45503</v>
      </c>
      <c r="K120" s="74" t="s">
        <v>57</v>
      </c>
      <c r="L120" s="74" t="s">
        <v>653</v>
      </c>
    </row>
    <row r="121" spans="1:12" ht="28" x14ac:dyDescent="0.3">
      <c r="A121" s="74">
        <v>120</v>
      </c>
      <c r="B121" s="74" t="s">
        <v>843</v>
      </c>
      <c r="C121" s="1" t="s">
        <v>844</v>
      </c>
      <c r="D121" s="74" t="s">
        <v>692</v>
      </c>
      <c r="E121" s="74" t="s">
        <v>43</v>
      </c>
      <c r="F121" s="2" t="s">
        <v>47</v>
      </c>
      <c r="G121" s="74" t="s">
        <v>845</v>
      </c>
      <c r="H121" s="74" t="s">
        <v>113</v>
      </c>
      <c r="I121" s="74" t="s">
        <v>114</v>
      </c>
      <c r="J121" s="70">
        <v>45503</v>
      </c>
      <c r="K121" s="74" t="s">
        <v>57</v>
      </c>
      <c r="L121" s="74" t="s">
        <v>653</v>
      </c>
    </row>
    <row r="122" spans="1:12" ht="154" x14ac:dyDescent="0.3">
      <c r="A122" s="74">
        <v>121</v>
      </c>
      <c r="B122" s="74" t="s">
        <v>846</v>
      </c>
      <c r="C122" s="1" t="s">
        <v>847</v>
      </c>
      <c r="D122" s="74" t="s">
        <v>693</v>
      </c>
      <c r="E122" s="74" t="s">
        <v>43</v>
      </c>
      <c r="F122" s="2" t="s">
        <v>47</v>
      </c>
      <c r="G122" s="74" t="s">
        <v>848</v>
      </c>
      <c r="H122" s="74" t="s">
        <v>113</v>
      </c>
      <c r="I122" s="74" t="s">
        <v>114</v>
      </c>
      <c r="J122" s="70">
        <v>45503</v>
      </c>
      <c r="K122" s="74" t="s">
        <v>57</v>
      </c>
      <c r="L122" s="74" t="s">
        <v>653</v>
      </c>
    </row>
    <row r="123" spans="1:12" ht="140" x14ac:dyDescent="0.3">
      <c r="A123" s="74">
        <v>122</v>
      </c>
      <c r="B123" s="74" t="s">
        <v>849</v>
      </c>
      <c r="C123" s="1" t="s">
        <v>850</v>
      </c>
      <c r="D123" s="74" t="s">
        <v>694</v>
      </c>
      <c r="E123" s="74" t="s">
        <v>43</v>
      </c>
      <c r="F123" s="2" t="s">
        <v>47</v>
      </c>
      <c r="G123" s="74" t="s">
        <v>851</v>
      </c>
      <c r="H123" s="74" t="s">
        <v>113</v>
      </c>
      <c r="I123" s="74" t="s">
        <v>114</v>
      </c>
      <c r="J123" s="70">
        <v>45503</v>
      </c>
      <c r="K123" s="74" t="s">
        <v>57</v>
      </c>
      <c r="L123" s="74" t="s">
        <v>653</v>
      </c>
    </row>
    <row r="124" spans="1:12" ht="196" x14ac:dyDescent="0.3">
      <c r="A124" s="74">
        <v>123</v>
      </c>
      <c r="B124" s="74" t="s">
        <v>852</v>
      </c>
      <c r="C124" s="1" t="s">
        <v>853</v>
      </c>
      <c r="D124" s="74" t="s">
        <v>695</v>
      </c>
      <c r="E124" s="74" t="s">
        <v>43</v>
      </c>
      <c r="F124" s="2" t="s">
        <v>47</v>
      </c>
      <c r="G124" s="74" t="s">
        <v>805</v>
      </c>
      <c r="H124" s="74" t="s">
        <v>113</v>
      </c>
      <c r="I124" s="74" t="s">
        <v>114</v>
      </c>
      <c r="J124" s="70">
        <v>45503</v>
      </c>
      <c r="K124" s="74" t="s">
        <v>57</v>
      </c>
      <c r="L124" s="74" t="s">
        <v>653</v>
      </c>
    </row>
    <row r="125" spans="1:12" ht="56" x14ac:dyDescent="0.3">
      <c r="A125" s="74">
        <v>124</v>
      </c>
      <c r="B125" s="74" t="s">
        <v>854</v>
      </c>
      <c r="C125" s="1" t="s">
        <v>855</v>
      </c>
      <c r="D125" s="74" t="s">
        <v>696</v>
      </c>
      <c r="E125" s="74" t="s">
        <v>43</v>
      </c>
      <c r="F125" s="2" t="s">
        <v>47</v>
      </c>
      <c r="G125" s="74" t="s">
        <v>805</v>
      </c>
      <c r="H125" s="74" t="s">
        <v>113</v>
      </c>
      <c r="I125" s="74" t="s">
        <v>114</v>
      </c>
      <c r="J125" s="70">
        <v>45503</v>
      </c>
      <c r="K125" s="74" t="s">
        <v>57</v>
      </c>
      <c r="L125" s="74" t="s">
        <v>653</v>
      </c>
    </row>
    <row r="126" spans="1:12" ht="28" x14ac:dyDescent="0.3">
      <c r="A126" s="74">
        <v>125</v>
      </c>
      <c r="B126" s="74" t="s">
        <v>856</v>
      </c>
      <c r="C126" s="1" t="s">
        <v>857</v>
      </c>
      <c r="D126" s="74" t="s">
        <v>697</v>
      </c>
      <c r="E126" s="74" t="s">
        <v>43</v>
      </c>
      <c r="F126" s="2" t="s">
        <v>47</v>
      </c>
      <c r="G126" s="74" t="s">
        <v>858</v>
      </c>
      <c r="H126" s="74" t="s">
        <v>113</v>
      </c>
      <c r="I126" s="74" t="s">
        <v>114</v>
      </c>
      <c r="J126" s="70">
        <v>45503</v>
      </c>
      <c r="K126" s="74" t="s">
        <v>57</v>
      </c>
      <c r="L126" s="74" t="s">
        <v>653</v>
      </c>
    </row>
    <row r="127" spans="1:12" ht="42" x14ac:dyDescent="0.3">
      <c r="A127" s="74">
        <v>126</v>
      </c>
      <c r="B127" s="74" t="s">
        <v>859</v>
      </c>
      <c r="C127" s="1" t="s">
        <v>860</v>
      </c>
      <c r="D127" s="74" t="s">
        <v>698</v>
      </c>
      <c r="E127" s="74" t="s">
        <v>43</v>
      </c>
      <c r="F127" s="2" t="s">
        <v>47</v>
      </c>
      <c r="G127" s="74" t="s">
        <v>861</v>
      </c>
      <c r="H127" s="74" t="s">
        <v>113</v>
      </c>
      <c r="I127" s="74" t="s">
        <v>114</v>
      </c>
      <c r="J127" s="70">
        <v>45503</v>
      </c>
      <c r="K127" s="74" t="s">
        <v>57</v>
      </c>
      <c r="L127" s="74" t="s">
        <v>653</v>
      </c>
    </row>
    <row r="128" spans="1:12" ht="28" x14ac:dyDescent="0.3">
      <c r="A128" s="74">
        <v>127</v>
      </c>
      <c r="B128" s="74" t="s">
        <v>862</v>
      </c>
      <c r="C128" s="1" t="s">
        <v>863</v>
      </c>
      <c r="D128" s="74" t="s">
        <v>699</v>
      </c>
      <c r="E128" s="74" t="s">
        <v>43</v>
      </c>
      <c r="F128" s="2" t="s">
        <v>47</v>
      </c>
      <c r="G128" s="74" t="s">
        <v>864</v>
      </c>
      <c r="H128" s="74" t="s">
        <v>113</v>
      </c>
      <c r="I128" s="74" t="s">
        <v>114</v>
      </c>
      <c r="J128" s="70">
        <v>45503</v>
      </c>
      <c r="K128" s="74" t="s">
        <v>57</v>
      </c>
      <c r="L128" s="74" t="s">
        <v>653</v>
      </c>
    </row>
    <row r="129" spans="1:12" ht="28" x14ac:dyDescent="0.3">
      <c r="A129" s="74">
        <v>128</v>
      </c>
      <c r="B129" s="74" t="s">
        <v>865</v>
      </c>
      <c r="C129" s="1" t="s">
        <v>866</v>
      </c>
      <c r="D129" s="74" t="s">
        <v>700</v>
      </c>
      <c r="E129" s="74" t="s">
        <v>43</v>
      </c>
      <c r="F129" s="2" t="s">
        <v>47</v>
      </c>
      <c r="G129" s="74" t="s">
        <v>867</v>
      </c>
      <c r="H129" s="74" t="s">
        <v>113</v>
      </c>
      <c r="I129" s="74" t="s">
        <v>114</v>
      </c>
      <c r="J129" s="70">
        <v>45503</v>
      </c>
      <c r="K129" s="74" t="s">
        <v>57</v>
      </c>
      <c r="L129" s="74" t="s">
        <v>653</v>
      </c>
    </row>
    <row r="130" spans="1:12" ht="84" x14ac:dyDescent="0.3">
      <c r="A130" s="74">
        <v>129</v>
      </c>
      <c r="B130" s="74" t="s">
        <v>868</v>
      </c>
      <c r="C130" s="1" t="s">
        <v>869</v>
      </c>
      <c r="D130" s="74" t="s">
        <v>701</v>
      </c>
      <c r="E130" s="74" t="s">
        <v>43</v>
      </c>
      <c r="F130" s="2" t="s">
        <v>47</v>
      </c>
      <c r="G130" s="74" t="s">
        <v>870</v>
      </c>
      <c r="H130" s="74" t="s">
        <v>113</v>
      </c>
      <c r="I130" s="74" t="s">
        <v>114</v>
      </c>
      <c r="J130" s="70">
        <v>45503</v>
      </c>
      <c r="K130" s="74" t="s">
        <v>57</v>
      </c>
      <c r="L130" s="74" t="s">
        <v>653</v>
      </c>
    </row>
    <row r="131" spans="1:12" ht="28" x14ac:dyDescent="0.3">
      <c r="A131" s="74">
        <v>130</v>
      </c>
      <c r="B131" s="74" t="s">
        <v>871</v>
      </c>
      <c r="C131" s="1" t="s">
        <v>872</v>
      </c>
      <c r="D131" s="74" t="s">
        <v>702</v>
      </c>
      <c r="E131" s="74" t="s">
        <v>43</v>
      </c>
      <c r="F131" s="2" t="s">
        <v>47</v>
      </c>
      <c r="G131" s="74" t="s">
        <v>873</v>
      </c>
      <c r="H131" s="74" t="s">
        <v>113</v>
      </c>
      <c r="I131" s="74" t="s">
        <v>114</v>
      </c>
      <c r="J131" s="70">
        <v>45503</v>
      </c>
      <c r="K131" s="74" t="s">
        <v>57</v>
      </c>
      <c r="L131" s="74" t="s">
        <v>653</v>
      </c>
    </row>
    <row r="132" spans="1:12" ht="42" x14ac:dyDescent="0.3">
      <c r="A132" s="74">
        <v>131</v>
      </c>
      <c r="B132" s="74" t="s">
        <v>874</v>
      </c>
      <c r="C132" s="1" t="s">
        <v>875</v>
      </c>
      <c r="D132" s="74" t="s">
        <v>703</v>
      </c>
      <c r="E132" s="74" t="s">
        <v>43</v>
      </c>
      <c r="F132" s="2" t="s">
        <v>47</v>
      </c>
      <c r="G132" s="74" t="s">
        <v>876</v>
      </c>
      <c r="H132" s="74" t="s">
        <v>113</v>
      </c>
      <c r="I132" s="74" t="s">
        <v>114</v>
      </c>
      <c r="J132" s="70">
        <v>45503</v>
      </c>
      <c r="K132" s="74" t="s">
        <v>57</v>
      </c>
      <c r="L132" s="74" t="s">
        <v>653</v>
      </c>
    </row>
    <row r="133" spans="1:12" ht="14" x14ac:dyDescent="0.3">
      <c r="A133" s="74">
        <v>132</v>
      </c>
      <c r="B133" s="74" t="s">
        <v>877</v>
      </c>
      <c r="C133" s="1" t="s">
        <v>878</v>
      </c>
      <c r="D133" s="74" t="s">
        <v>704</v>
      </c>
      <c r="E133" s="74" t="s">
        <v>43</v>
      </c>
      <c r="F133" s="2" t="s">
        <v>47</v>
      </c>
      <c r="G133" s="74" t="s">
        <v>879</v>
      </c>
      <c r="H133" s="74" t="s">
        <v>113</v>
      </c>
      <c r="I133" s="74" t="s">
        <v>114</v>
      </c>
      <c r="J133" s="70">
        <v>45503</v>
      </c>
      <c r="K133" s="74" t="s">
        <v>57</v>
      </c>
      <c r="L133" s="74" t="s">
        <v>653</v>
      </c>
    </row>
    <row r="134" spans="1:12" ht="14" x14ac:dyDescent="0.3">
      <c r="A134" s="74">
        <v>133</v>
      </c>
      <c r="B134" s="74" t="s">
        <v>880</v>
      </c>
      <c r="C134" s="1" t="s">
        <v>880</v>
      </c>
      <c r="D134" s="74" t="s">
        <v>705</v>
      </c>
      <c r="E134" s="74" t="s">
        <v>43</v>
      </c>
      <c r="F134" s="2" t="s">
        <v>47</v>
      </c>
      <c r="G134" s="74" t="s">
        <v>881</v>
      </c>
      <c r="H134" s="74" t="s">
        <v>113</v>
      </c>
      <c r="I134" s="74" t="s">
        <v>114</v>
      </c>
      <c r="J134" s="70">
        <v>45503</v>
      </c>
      <c r="K134" s="74" t="s">
        <v>57</v>
      </c>
      <c r="L134" s="74" t="s">
        <v>653</v>
      </c>
    </row>
    <row r="135" spans="1:12" ht="28" x14ac:dyDescent="0.3">
      <c r="A135" s="74">
        <v>134</v>
      </c>
      <c r="B135" s="74" t="s">
        <v>882</v>
      </c>
      <c r="C135" s="1" t="s">
        <v>883</v>
      </c>
      <c r="D135" s="74" t="s">
        <v>706</v>
      </c>
      <c r="E135" s="74" t="s">
        <v>43</v>
      </c>
      <c r="F135" s="2" t="s">
        <v>47</v>
      </c>
      <c r="G135" s="74" t="s">
        <v>884</v>
      </c>
      <c r="H135" s="74" t="s">
        <v>113</v>
      </c>
      <c r="I135" s="74" t="s">
        <v>114</v>
      </c>
      <c r="J135" s="70">
        <v>45503</v>
      </c>
      <c r="K135" s="74" t="s">
        <v>57</v>
      </c>
      <c r="L135" s="74" t="s">
        <v>653</v>
      </c>
    </row>
    <row r="136" spans="1:12" ht="42" x14ac:dyDescent="0.3">
      <c r="A136" s="74">
        <v>135</v>
      </c>
      <c r="B136" s="74" t="s">
        <v>885</v>
      </c>
      <c r="C136" s="1" t="s">
        <v>886</v>
      </c>
      <c r="D136" s="74" t="s">
        <v>707</v>
      </c>
      <c r="E136" s="74" t="s">
        <v>43</v>
      </c>
      <c r="F136" s="2" t="s">
        <v>47</v>
      </c>
      <c r="G136" s="74" t="s">
        <v>887</v>
      </c>
      <c r="H136" s="74" t="s">
        <v>113</v>
      </c>
      <c r="I136" s="74" t="s">
        <v>114</v>
      </c>
      <c r="J136" s="70">
        <v>45503</v>
      </c>
      <c r="K136" s="74" t="s">
        <v>57</v>
      </c>
      <c r="L136" s="74" t="s">
        <v>653</v>
      </c>
    </row>
    <row r="137" spans="1:12" ht="14" x14ac:dyDescent="0.3">
      <c r="A137" s="74">
        <v>136</v>
      </c>
      <c r="B137" s="74" t="s">
        <v>888</v>
      </c>
      <c r="C137" s="1" t="s">
        <v>650</v>
      </c>
      <c r="D137" s="74" t="s">
        <v>708</v>
      </c>
      <c r="E137" s="74" t="s">
        <v>43</v>
      </c>
      <c r="F137" s="2" t="s">
        <v>47</v>
      </c>
      <c r="G137" s="74" t="s">
        <v>889</v>
      </c>
      <c r="H137" s="74" t="s">
        <v>113</v>
      </c>
      <c r="I137" s="74" t="s">
        <v>114</v>
      </c>
      <c r="J137" s="70">
        <v>45503</v>
      </c>
      <c r="K137" s="74" t="s">
        <v>57</v>
      </c>
      <c r="L137" s="74" t="s">
        <v>653</v>
      </c>
    </row>
    <row r="138" spans="1:12" ht="98" x14ac:dyDescent="0.3">
      <c r="A138" s="74">
        <v>137</v>
      </c>
      <c r="B138" s="74" t="s">
        <v>890</v>
      </c>
      <c r="C138" s="1" t="s">
        <v>891</v>
      </c>
      <c r="D138" s="74" t="s">
        <v>709</v>
      </c>
      <c r="E138" s="74" t="s">
        <v>43</v>
      </c>
      <c r="F138" s="2" t="s">
        <v>47</v>
      </c>
      <c r="G138" s="74" t="s">
        <v>892</v>
      </c>
      <c r="H138" s="74" t="s">
        <v>113</v>
      </c>
      <c r="I138" s="74" t="s">
        <v>114</v>
      </c>
      <c r="J138" s="70">
        <v>45503</v>
      </c>
      <c r="K138" s="74" t="s">
        <v>57</v>
      </c>
      <c r="L138" s="74" t="s">
        <v>653</v>
      </c>
    </row>
    <row r="139" spans="1:12" ht="28" x14ac:dyDescent="0.3">
      <c r="A139" s="74">
        <v>138</v>
      </c>
      <c r="B139" s="74" t="s">
        <v>893</v>
      </c>
      <c r="C139" s="1" t="s">
        <v>894</v>
      </c>
      <c r="D139" s="74" t="s">
        <v>710</v>
      </c>
      <c r="E139" s="74" t="s">
        <v>43</v>
      </c>
      <c r="F139" s="2" t="s">
        <v>47</v>
      </c>
      <c r="G139" s="74" t="s">
        <v>895</v>
      </c>
      <c r="H139" s="74" t="s">
        <v>113</v>
      </c>
      <c r="I139" s="74" t="s">
        <v>114</v>
      </c>
      <c r="J139" s="70">
        <v>45503</v>
      </c>
      <c r="K139" s="74" t="s">
        <v>57</v>
      </c>
      <c r="L139" s="74" t="s">
        <v>653</v>
      </c>
    </row>
    <row r="140" spans="1:12" ht="42" x14ac:dyDescent="0.3">
      <c r="A140" s="74">
        <v>139</v>
      </c>
      <c r="B140" s="74" t="s">
        <v>896</v>
      </c>
      <c r="C140" s="1" t="s">
        <v>810</v>
      </c>
      <c r="D140" s="74" t="s">
        <v>711</v>
      </c>
      <c r="E140" s="74" t="s">
        <v>43</v>
      </c>
      <c r="F140" s="2" t="s">
        <v>47</v>
      </c>
      <c r="G140" s="74" t="s">
        <v>811</v>
      </c>
      <c r="H140" s="74" t="s">
        <v>113</v>
      </c>
      <c r="I140" s="74" t="s">
        <v>114</v>
      </c>
      <c r="J140" s="70">
        <v>45503</v>
      </c>
      <c r="K140" s="74" t="s">
        <v>57</v>
      </c>
      <c r="L140" s="74" t="s">
        <v>653</v>
      </c>
    </row>
    <row r="141" spans="1:12" ht="28" x14ac:dyDescent="0.3">
      <c r="A141" s="74">
        <v>140</v>
      </c>
      <c r="B141" s="74" t="s">
        <v>897</v>
      </c>
      <c r="C141" s="1" t="s">
        <v>813</v>
      </c>
      <c r="D141" s="74" t="s">
        <v>712</v>
      </c>
      <c r="E141" s="74" t="s">
        <v>54</v>
      </c>
      <c r="F141" s="2" t="s">
        <v>47</v>
      </c>
      <c r="G141" s="74" t="s">
        <v>898</v>
      </c>
      <c r="H141" s="74" t="s">
        <v>113</v>
      </c>
      <c r="I141" s="74" t="s">
        <v>114</v>
      </c>
      <c r="J141" s="70">
        <v>45503</v>
      </c>
      <c r="K141" s="74" t="s">
        <v>57</v>
      </c>
      <c r="L141" s="74" t="s">
        <v>653</v>
      </c>
    </row>
    <row r="142" spans="1:12" ht="70" x14ac:dyDescent="0.3">
      <c r="A142" s="74">
        <v>141</v>
      </c>
      <c r="B142" s="74" t="s">
        <v>899</v>
      </c>
      <c r="C142" s="1" t="s">
        <v>900</v>
      </c>
      <c r="D142" s="74" t="s">
        <v>713</v>
      </c>
      <c r="E142" s="74" t="s">
        <v>43</v>
      </c>
      <c r="F142" s="2" t="s">
        <v>47</v>
      </c>
      <c r="G142" s="74" t="s">
        <v>901</v>
      </c>
      <c r="H142" s="74" t="s">
        <v>113</v>
      </c>
      <c r="I142" s="74" t="s">
        <v>114</v>
      </c>
      <c r="J142" s="70">
        <v>45503</v>
      </c>
      <c r="K142" s="74" t="s">
        <v>57</v>
      </c>
      <c r="L142" s="74" t="s">
        <v>653</v>
      </c>
    </row>
    <row r="143" spans="1:12" ht="56" x14ac:dyDescent="0.3">
      <c r="A143" s="74">
        <v>142</v>
      </c>
      <c r="B143" s="74" t="s">
        <v>902</v>
      </c>
      <c r="C143" s="1" t="s">
        <v>903</v>
      </c>
      <c r="D143" s="74" t="s">
        <v>714</v>
      </c>
      <c r="E143" s="74" t="s">
        <v>43</v>
      </c>
      <c r="F143" s="2" t="s">
        <v>47</v>
      </c>
      <c r="G143" s="74" t="s">
        <v>805</v>
      </c>
      <c r="H143" s="74" t="s">
        <v>113</v>
      </c>
      <c r="I143" s="74" t="s">
        <v>114</v>
      </c>
      <c r="J143" s="70">
        <v>45503</v>
      </c>
      <c r="K143" s="74" t="s">
        <v>57</v>
      </c>
      <c r="L143" s="74" t="s">
        <v>653</v>
      </c>
    </row>
    <row r="144" spans="1:12" ht="14" x14ac:dyDescent="0.3">
      <c r="A144" s="74">
        <v>143</v>
      </c>
      <c r="B144" s="74" t="s">
        <v>904</v>
      </c>
      <c r="C144" s="1" t="s">
        <v>650</v>
      </c>
      <c r="D144" s="74" t="s">
        <v>715</v>
      </c>
      <c r="E144" s="74" t="s">
        <v>43</v>
      </c>
      <c r="F144" s="2" t="s">
        <v>47</v>
      </c>
      <c r="G144" s="74" t="s">
        <v>805</v>
      </c>
      <c r="H144" s="74" t="s">
        <v>113</v>
      </c>
      <c r="I144" s="74" t="s">
        <v>114</v>
      </c>
      <c r="J144" s="70">
        <v>45503</v>
      </c>
      <c r="K144" s="74" t="s">
        <v>57</v>
      </c>
      <c r="L144" s="74" t="s">
        <v>653</v>
      </c>
    </row>
    <row r="145" spans="1:12" ht="42" x14ac:dyDescent="0.3">
      <c r="A145" s="74">
        <v>144</v>
      </c>
      <c r="B145" s="74" t="s">
        <v>905</v>
      </c>
      <c r="C145" s="1" t="s">
        <v>860</v>
      </c>
      <c r="D145" s="74" t="s">
        <v>716</v>
      </c>
      <c r="E145" s="74" t="s">
        <v>43</v>
      </c>
      <c r="F145" s="2" t="s">
        <v>47</v>
      </c>
      <c r="G145" s="74" t="s">
        <v>906</v>
      </c>
      <c r="H145" s="74" t="s">
        <v>113</v>
      </c>
      <c r="I145" s="74" t="s">
        <v>114</v>
      </c>
      <c r="J145" s="70">
        <v>45503</v>
      </c>
      <c r="K145" s="74" t="s">
        <v>57</v>
      </c>
      <c r="L145" s="74" t="s">
        <v>653</v>
      </c>
    </row>
    <row r="146" spans="1:12" ht="28" x14ac:dyDescent="0.3">
      <c r="A146" s="74">
        <v>145</v>
      </c>
      <c r="B146" s="74" t="s">
        <v>820</v>
      </c>
      <c r="C146" s="1" t="s">
        <v>821</v>
      </c>
      <c r="D146" s="74" t="s">
        <v>717</v>
      </c>
      <c r="E146" s="74" t="s">
        <v>43</v>
      </c>
      <c r="F146" s="2" t="s">
        <v>47</v>
      </c>
      <c r="G146" s="74" t="s">
        <v>907</v>
      </c>
      <c r="H146" s="74" t="s">
        <v>113</v>
      </c>
      <c r="I146" s="74" t="s">
        <v>114</v>
      </c>
      <c r="J146" s="70">
        <v>45503</v>
      </c>
      <c r="K146" s="74" t="s">
        <v>57</v>
      </c>
      <c r="L146" s="74" t="s">
        <v>653</v>
      </c>
    </row>
    <row r="147" spans="1:12" ht="14" x14ac:dyDescent="0.3">
      <c r="A147" s="74">
        <v>146</v>
      </c>
      <c r="B147" s="74" t="s">
        <v>908</v>
      </c>
      <c r="C147" s="1" t="s">
        <v>880</v>
      </c>
      <c r="D147" s="74" t="s">
        <v>718</v>
      </c>
      <c r="E147" s="74" t="s">
        <v>43</v>
      </c>
      <c r="F147" s="2" t="s">
        <v>47</v>
      </c>
      <c r="G147" s="74" t="s">
        <v>909</v>
      </c>
      <c r="H147" s="74" t="s">
        <v>113</v>
      </c>
      <c r="I147" s="74" t="s">
        <v>114</v>
      </c>
      <c r="J147" s="70">
        <v>45503</v>
      </c>
      <c r="K147" s="74" t="s">
        <v>57</v>
      </c>
      <c r="L147" s="74" t="s">
        <v>653</v>
      </c>
    </row>
    <row r="148" spans="1:12" ht="56" x14ac:dyDescent="0.3">
      <c r="A148" s="74">
        <v>147</v>
      </c>
      <c r="B148" s="74" t="s">
        <v>910</v>
      </c>
      <c r="C148" s="1" t="s">
        <v>911</v>
      </c>
      <c r="D148" s="74" t="s">
        <v>719</v>
      </c>
      <c r="E148" s="74" t="s">
        <v>43</v>
      </c>
      <c r="F148" s="2" t="s">
        <v>47</v>
      </c>
      <c r="G148" s="74" t="s">
        <v>805</v>
      </c>
      <c r="H148" s="74" t="s">
        <v>113</v>
      </c>
      <c r="I148" s="74" t="s">
        <v>114</v>
      </c>
      <c r="J148" s="70">
        <v>45503</v>
      </c>
      <c r="K148" s="74" t="s">
        <v>57</v>
      </c>
      <c r="L148" s="74" t="s">
        <v>653</v>
      </c>
    </row>
    <row r="149" spans="1:12" ht="28" x14ac:dyDescent="0.3">
      <c r="A149" s="74">
        <v>148</v>
      </c>
      <c r="B149" s="74" t="s">
        <v>912</v>
      </c>
      <c r="C149" s="1" t="s">
        <v>913</v>
      </c>
      <c r="D149" s="74" t="s">
        <v>665</v>
      </c>
      <c r="E149" s="74" t="s">
        <v>43</v>
      </c>
      <c r="F149" s="2" t="s">
        <v>47</v>
      </c>
      <c r="G149" s="74" t="s">
        <v>914</v>
      </c>
      <c r="H149" s="74" t="s">
        <v>113</v>
      </c>
      <c r="I149" s="74" t="s">
        <v>114</v>
      </c>
      <c r="J149" s="70">
        <v>45503</v>
      </c>
      <c r="K149" s="74" t="s">
        <v>57</v>
      </c>
      <c r="L149" s="74" t="s">
        <v>653</v>
      </c>
    </row>
    <row r="150" spans="1:12" ht="14" x14ac:dyDescent="0.3">
      <c r="A150" s="74">
        <v>149</v>
      </c>
      <c r="B150" s="74" t="s">
        <v>915</v>
      </c>
      <c r="C150" s="1" t="s">
        <v>916</v>
      </c>
      <c r="D150" s="74" t="s">
        <v>720</v>
      </c>
      <c r="E150" s="74" t="s">
        <v>43</v>
      </c>
      <c r="F150" s="2" t="s">
        <v>47</v>
      </c>
      <c r="G150" s="74" t="s">
        <v>805</v>
      </c>
      <c r="H150" s="74" t="s">
        <v>113</v>
      </c>
      <c r="I150" s="74" t="s">
        <v>114</v>
      </c>
      <c r="J150" s="70">
        <v>45503</v>
      </c>
      <c r="K150" s="74" t="s">
        <v>57</v>
      </c>
      <c r="L150" s="74" t="s">
        <v>653</v>
      </c>
    </row>
    <row r="151" spans="1:12" ht="42" x14ac:dyDescent="0.3">
      <c r="A151" s="74">
        <v>150</v>
      </c>
      <c r="B151" s="74" t="s">
        <v>917</v>
      </c>
      <c r="C151" s="1" t="s">
        <v>918</v>
      </c>
      <c r="D151" s="74" t="s">
        <v>721</v>
      </c>
      <c r="E151" s="74" t="s">
        <v>43</v>
      </c>
      <c r="F151" s="2" t="s">
        <v>47</v>
      </c>
      <c r="G151" s="74" t="s">
        <v>805</v>
      </c>
      <c r="H151" s="74" t="s">
        <v>113</v>
      </c>
      <c r="I151" s="74" t="s">
        <v>114</v>
      </c>
      <c r="J151" s="70">
        <v>45503</v>
      </c>
      <c r="K151" s="74" t="s">
        <v>57</v>
      </c>
      <c r="L151" s="74" t="s">
        <v>653</v>
      </c>
    </row>
    <row r="152" spans="1:12" ht="14" x14ac:dyDescent="0.3">
      <c r="A152" s="74">
        <v>151</v>
      </c>
      <c r="B152" s="74" t="s">
        <v>919</v>
      </c>
      <c r="C152" s="1" t="s">
        <v>920</v>
      </c>
      <c r="D152" s="74" t="s">
        <v>722</v>
      </c>
      <c r="E152" s="74" t="s">
        <v>43</v>
      </c>
      <c r="F152" s="2" t="s">
        <v>47</v>
      </c>
      <c r="G152" s="74" t="s">
        <v>819</v>
      </c>
      <c r="H152" s="74" t="s">
        <v>113</v>
      </c>
      <c r="I152" s="74" t="s">
        <v>114</v>
      </c>
      <c r="J152" s="70">
        <v>45503</v>
      </c>
      <c r="K152" s="74" t="s">
        <v>57</v>
      </c>
      <c r="L152" s="74" t="s">
        <v>653</v>
      </c>
    </row>
    <row r="153" spans="1:12" ht="14" x14ac:dyDescent="0.3">
      <c r="A153" s="74">
        <v>152</v>
      </c>
      <c r="B153" s="74" t="s">
        <v>723</v>
      </c>
      <c r="C153" s="1" t="s">
        <v>650</v>
      </c>
      <c r="D153" s="74" t="s">
        <v>723</v>
      </c>
      <c r="E153" s="74" t="s">
        <v>43</v>
      </c>
      <c r="F153" s="2" t="s">
        <v>47</v>
      </c>
      <c r="G153" s="74" t="s">
        <v>819</v>
      </c>
      <c r="H153" s="74" t="s">
        <v>113</v>
      </c>
      <c r="I153" s="74" t="s">
        <v>114</v>
      </c>
      <c r="J153" s="70">
        <v>45503</v>
      </c>
      <c r="K153" s="74" t="s">
        <v>57</v>
      </c>
      <c r="L153" s="74" t="s">
        <v>653</v>
      </c>
    </row>
    <row r="154" spans="1:12" ht="14" x14ac:dyDescent="0.3">
      <c r="A154" s="74">
        <v>153</v>
      </c>
      <c r="B154" s="74" t="s">
        <v>724</v>
      </c>
      <c r="C154" s="1" t="s">
        <v>650</v>
      </c>
      <c r="D154" s="74" t="s">
        <v>724</v>
      </c>
      <c r="E154" s="74" t="s">
        <v>43</v>
      </c>
      <c r="F154" s="2" t="s">
        <v>47</v>
      </c>
      <c r="G154" s="74" t="s">
        <v>819</v>
      </c>
      <c r="H154" s="74" t="s">
        <v>113</v>
      </c>
      <c r="I154" s="74" t="s">
        <v>114</v>
      </c>
      <c r="J154" s="70">
        <v>45503</v>
      </c>
      <c r="K154" s="74" t="s">
        <v>57</v>
      </c>
      <c r="L154" s="74" t="s">
        <v>653</v>
      </c>
    </row>
    <row r="155" spans="1:12" ht="14" x14ac:dyDescent="0.3">
      <c r="A155" s="74">
        <v>154</v>
      </c>
      <c r="B155" s="74" t="s">
        <v>725</v>
      </c>
      <c r="C155" s="1" t="s">
        <v>650</v>
      </c>
      <c r="D155" s="74" t="s">
        <v>725</v>
      </c>
      <c r="E155" s="74" t="s">
        <v>43</v>
      </c>
      <c r="F155" s="2" t="s">
        <v>47</v>
      </c>
      <c r="G155" s="74" t="s">
        <v>819</v>
      </c>
      <c r="H155" s="74" t="s">
        <v>113</v>
      </c>
      <c r="I155" s="74" t="s">
        <v>114</v>
      </c>
      <c r="J155" s="70">
        <v>45503</v>
      </c>
      <c r="K155" s="74" t="s">
        <v>57</v>
      </c>
      <c r="L155" s="74" t="s">
        <v>653</v>
      </c>
    </row>
  </sheetData>
  <phoneticPr fontId="20" type="noConversion"/>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3C5FEA-5690-4E89-809C-34489CFFEF87}">
  <sheetPr>
    <tabColor rgb="FFC00000"/>
  </sheetPr>
  <dimension ref="A1:AN155"/>
  <sheetViews>
    <sheetView topLeftCell="A39" zoomScale="70" zoomScaleNormal="70" workbookViewId="0">
      <selection activeCell="O17" sqref="O17"/>
    </sheetView>
  </sheetViews>
  <sheetFormatPr defaultRowHeight="14" x14ac:dyDescent="0.3"/>
  <cols>
    <col min="1" max="1" width="34.75" bestFit="1" customWidth="1"/>
    <col min="2" max="2" width="26.75" bestFit="1" customWidth="1"/>
    <col min="3" max="3" width="25.5" bestFit="1" customWidth="1"/>
    <col min="4" max="4" width="40" bestFit="1" customWidth="1"/>
    <col min="5" max="5" width="25.08203125" bestFit="1" customWidth="1"/>
    <col min="6" max="6" width="15.58203125" bestFit="1" customWidth="1"/>
    <col min="7" max="7" width="8.75" bestFit="1" customWidth="1"/>
    <col min="8" max="8" width="12.5" bestFit="1" customWidth="1"/>
    <col min="9" max="9" width="10.25" bestFit="1" customWidth="1"/>
    <col min="10" max="10" width="11.33203125" bestFit="1" customWidth="1"/>
    <col min="11" max="11" width="17.08203125" bestFit="1" customWidth="1"/>
    <col min="12" max="12" width="15.25" bestFit="1" customWidth="1"/>
    <col min="13" max="13" width="14.33203125" bestFit="1" customWidth="1"/>
    <col min="14" max="14" width="22" customWidth="1"/>
    <col min="15" max="15" width="14.58203125" customWidth="1"/>
    <col min="16" max="16" width="29.83203125" customWidth="1"/>
    <col min="17" max="17" width="16.75" customWidth="1"/>
    <col min="18" max="18" width="10.25" customWidth="1"/>
    <col min="19" max="19" width="6.5" customWidth="1"/>
    <col min="20" max="20" width="19.08203125" customWidth="1"/>
    <col min="21" max="21" width="25.08203125" customWidth="1"/>
    <col min="22" max="22" width="14.58203125" customWidth="1"/>
    <col min="23" max="23" width="16" customWidth="1"/>
    <col min="24" max="24" width="16.58203125" customWidth="1"/>
    <col min="25" max="25" width="18.25" customWidth="1"/>
    <col min="26" max="26" width="13" customWidth="1"/>
    <col min="27" max="27" width="11.5" customWidth="1"/>
    <col min="28" max="28" width="12.83203125" customWidth="1"/>
    <col min="29" max="29" width="11.83203125" customWidth="1"/>
    <col min="30" max="30" width="16" customWidth="1"/>
    <col min="31" max="31" width="19.75" customWidth="1"/>
    <col min="32" max="32" width="13.83203125" customWidth="1"/>
    <col min="33" max="33" width="16.83203125" customWidth="1"/>
    <col min="34" max="34" width="15.83203125" customWidth="1"/>
    <col min="35" max="35" width="15.58203125" customWidth="1"/>
    <col min="36" max="36" width="13.33203125" customWidth="1"/>
    <col min="37" max="37" width="15.58203125" customWidth="1"/>
    <col min="38" max="38" width="15.83203125" customWidth="1"/>
    <col min="39" max="39" width="20.75" customWidth="1"/>
    <col min="41" max="41" width="20.08203125" customWidth="1"/>
    <col min="42" max="42" width="16.58203125" customWidth="1"/>
    <col min="44" max="44" width="12.83203125" customWidth="1"/>
    <col min="46" max="50" width="17.5" customWidth="1"/>
    <col min="52" max="52" width="12.33203125" customWidth="1"/>
    <col min="53" max="53" width="10.33203125" customWidth="1"/>
    <col min="54" max="54" width="14.33203125" customWidth="1"/>
    <col min="55" max="55" width="13.08203125" customWidth="1"/>
    <col min="56" max="56" width="10.83203125" customWidth="1"/>
  </cols>
  <sheetData>
    <row r="1" spans="1:40" ht="62.5" x14ac:dyDescent="0.3">
      <c r="A1" t="s">
        <v>24</v>
      </c>
      <c r="B1" t="s">
        <v>25</v>
      </c>
      <c r="C1" t="s">
        <v>26</v>
      </c>
      <c r="D1" t="s">
        <v>27</v>
      </c>
      <c r="E1" t="s">
        <v>28</v>
      </c>
      <c r="F1" t="s">
        <v>29</v>
      </c>
      <c r="G1" t="s">
        <v>31</v>
      </c>
      <c r="H1" t="s">
        <v>32</v>
      </c>
      <c r="I1" t="s">
        <v>33</v>
      </c>
      <c r="J1" t="s">
        <v>34</v>
      </c>
      <c r="K1" t="s">
        <v>35</v>
      </c>
      <c r="L1" t="s">
        <v>36</v>
      </c>
      <c r="N1" s="3" t="s">
        <v>328</v>
      </c>
      <c r="O1" s="3" t="s">
        <v>329</v>
      </c>
      <c r="P1" s="3" t="s">
        <v>330</v>
      </c>
      <c r="Q1" s="3" t="s">
        <v>301</v>
      </c>
      <c r="R1" s="3" t="s">
        <v>331</v>
      </c>
      <c r="S1" s="3" t="s">
        <v>332</v>
      </c>
      <c r="T1" s="3" t="s">
        <v>333</v>
      </c>
      <c r="U1" s="3" t="s">
        <v>334</v>
      </c>
      <c r="V1" s="3" t="s">
        <v>335</v>
      </c>
      <c r="W1" s="3" t="s">
        <v>312</v>
      </c>
      <c r="X1" s="3" t="s">
        <v>313</v>
      </c>
      <c r="Y1" s="1"/>
      <c r="Z1" s="8" t="s">
        <v>336</v>
      </c>
      <c r="AA1" s="1"/>
      <c r="AB1" s="7" t="s">
        <v>337</v>
      </c>
      <c r="AC1" s="1"/>
      <c r="AD1" s="5" t="s">
        <v>338</v>
      </c>
      <c r="AE1" s="5" t="s">
        <v>339</v>
      </c>
      <c r="AF1" s="5" t="s">
        <v>340</v>
      </c>
      <c r="AG1" s="5" t="s">
        <v>316</v>
      </c>
      <c r="AH1" s="5" t="s">
        <v>319</v>
      </c>
      <c r="AI1" s="1"/>
      <c r="AJ1" s="6" t="s">
        <v>341</v>
      </c>
      <c r="AK1" s="6" t="s">
        <v>342</v>
      </c>
      <c r="AL1" s="12" t="s">
        <v>343</v>
      </c>
      <c r="AM1" s="6" t="s">
        <v>344</v>
      </c>
      <c r="AN1" s="6" t="s">
        <v>345</v>
      </c>
    </row>
    <row r="2" spans="1:40" x14ac:dyDescent="0.3">
      <c r="A2" s="73" t="s">
        <v>38</v>
      </c>
      <c r="B2" s="73" t="s">
        <v>39</v>
      </c>
      <c r="C2" s="73" t="s">
        <v>40</v>
      </c>
      <c r="D2" s="73" t="s">
        <v>41</v>
      </c>
      <c r="E2" t="s">
        <v>42</v>
      </c>
      <c r="F2" s="73" t="s">
        <v>43</v>
      </c>
      <c r="G2" s="73" t="s">
        <v>45</v>
      </c>
      <c r="H2" s="73" t="s">
        <v>46</v>
      </c>
      <c r="I2" t="s">
        <v>47</v>
      </c>
      <c r="J2" s="73" t="s">
        <v>48</v>
      </c>
      <c r="K2" s="71">
        <v>45300</v>
      </c>
      <c r="L2" s="73" t="s">
        <v>49</v>
      </c>
      <c r="N2" s="11">
        <f>IF(ISBLANK(Calculate_Technical_Metadata___Column[[#This Row],[System/Data Subject Area Name]])=TRUE, 0, 1)</f>
        <v>1</v>
      </c>
      <c r="O2" s="11">
        <f>IF(ISBLANK(Calculate_Technical_Metadata___Column[[#This Row],[Schema/Database Name]])=TRUE, 0, 1)</f>
        <v>1</v>
      </c>
      <c r="P2" s="11">
        <f>IF(ISBLANK(Calculate_Technical_Metadata___Column[[#This Row],[Data Set Name]])=TRUE, 0, 1)</f>
        <v>1</v>
      </c>
      <c r="Q2" s="11">
        <f>IF(ISBLANK(Calculate_Technical_Metadata___Column[[#This Row],[Column Name]])=TRUE, 0, 1)</f>
        <v>1</v>
      </c>
      <c r="R2" s="11">
        <f>IF(ISBLANK(Calculate_Technical_Metadata___Column[[#This Row],[Data Zone (MDZ/GDZ)]])=TRUE, 0, 1)</f>
        <v>1</v>
      </c>
      <c r="S2" s="11">
        <f>IF(ISBLANK(Calculate_Technical_Metadata___Column[[#This Row],[PII/Non-PII]])=TRUE, 0, 1)</f>
        <v>1</v>
      </c>
      <c r="T2" s="11">
        <f>IF(ISBLANK(Calculate_Technical_Metadata___Column[[#This Row],[Type]])=TRUE, 0, 1)</f>
        <v>1</v>
      </c>
      <c r="U2" s="11">
        <f>IF(ISBLANK(Calculate_Technical_Metadata___Column[[#This Row],[Format]])=TRUE, 0, 1)</f>
        <v>1</v>
      </c>
      <c r="V2" s="11">
        <f>IF(ISBLANK(Calculate_Technical_Metadata___Column[[#This Row],[Nullable]])=TRUE, 0, 1)</f>
        <v>1</v>
      </c>
      <c r="W2" s="11">
        <f>IF(ISBLANK(Calculate_Technical_Metadata___Column[[#This Row],[Updated Date ]])=TRUE, 0, 1)</f>
        <v>1</v>
      </c>
      <c r="X2" s="11">
        <f>IF(ISBLANK(Calculate_Technical_Metadata___Column[[#This Row],[Updated By]])=TRUE, 0, 1)</f>
        <v>1</v>
      </c>
      <c r="Z2">
        <f>IF(COUNTIFS('Cal_Technical - Data Set'!A:A, Calculate_Technical_Metadata___Column[[#This Row],[Data Set Name]]) &gt; 0, 1,0)</f>
        <v>1</v>
      </c>
      <c r="AB2">
        <f>IF( COUNTIFS(C:C, Calculate_Technical_Metadata___Column[[#This Row],[Data Set Name]], D:D, Calculate_Technical_Metadata___Column[[#This Row],[Column Name]], A:A, Calculate_Technical_Metadata___Column[[#This Row],[System/Data Subject Area Name]], B:B, Calculate_Technical_Metadata___Column[[#This Row],[Schema/Database Name]]) &lt;&gt; 1, 0, 1)</f>
        <v>1</v>
      </c>
      <c r="AD2" s="11">
        <f>IF(ISERROR(FIND("  ",Calculate_Technical_Metadata___Column[[#This Row],[System/Data Subject Area Name]], 1))=TRUE, 1, 0)</f>
        <v>1</v>
      </c>
      <c r="AE2" s="11">
        <f>IF(ISERROR(FIND(" ",Calculate_Technical_Metadata___Column[[#This Row],[Schema/Database Name]], 1))=TRUE, 1, 0)</f>
        <v>1</v>
      </c>
      <c r="AF2" s="11">
        <f>IF(OR(ISERROR(FIND(" ",Calculate_Technical_Metadata___Column[[#This Row],[Data Set Name]], 1))=TRUE, ISERROR(FIND("__",Calculate_Technical_Metadata___Column[[#This Row],[Data Set Name]], 1))=TRUE)=TRUE, 1, 0)</f>
        <v>1</v>
      </c>
      <c r="AG2" s="11">
        <f>IF(ISERROR(FIND(" ",Calculate_Technical_Metadata___Column[[#This Row],[Column Name]], 1))=TRUE, 1, 0)</f>
        <v>1</v>
      </c>
      <c r="AH2" s="11">
        <f>IF(ISERROR(FIND("  ",Calculate_Technical_Metadata___Column[[#This Row],[Updated By]], 1))=TRUE, 1, 0)</f>
        <v>1</v>
      </c>
      <c r="AJ2">
        <f>IF(OR(Calculate_Technical_Metadata___Column[[#This Row],[Data Zone (MDZ/GDZ)]]="GDZ",Calculate_Technical_Metadata___Column[[#This Row],[Data Zone (MDZ/GDZ)]]= "MDZ",Calculate_Technical_Metadata___Column[[#This Row],[Data Zone (MDZ/GDZ)]]= "INVX Data Lake")=TRUE, 1, 0)</f>
        <v>1</v>
      </c>
      <c r="AK2" s="11">
        <f>IF(OR(Calculate_Technical_Metadata___Column[[#This Row],[PII/Non-PII]]="PII",Calculate_Technical_Metadata___Column[[#This Row],[PII/Non-PII]]= "Non-PII")=TRUE, 1, 0)</f>
        <v>1</v>
      </c>
      <c r="AL2" s="11" t="str">
        <f xml:space="preserve"> IF(ISERROR(FIND("(",Calculate_Technical_Metadata___Column[[#This Row],[Type]], 1)) = FALSE, _xlfn.TEXTBEFORE(Calculate_Technical_Metadata___Column[[#This Row],[Type]], "("),Calculate_Technical_Metadata___Column[[#This Row],[Type]])</f>
        <v>string</v>
      </c>
      <c r="AM2" s="11">
        <f>IF(COUNTIF(Type!A:A,Calculate_Technical_Metadata___Column[[#This Row],[Type]]) &gt; 0, 1, 0)</f>
        <v>1</v>
      </c>
      <c r="AN2" s="13">
        <f>IF(OR(Calculate_Technical_Metadata___Column[[#This Row],[Nullable]]="Yes",Calculate_Technical_Metadata___Column[[#This Row],[Nullable]]="No")=TRUE, 1, 0)</f>
        <v>1</v>
      </c>
    </row>
    <row r="3" spans="1:40" x14ac:dyDescent="0.3">
      <c r="A3" s="73" t="s">
        <v>38</v>
      </c>
      <c r="B3" s="73" t="s">
        <v>39</v>
      </c>
      <c r="C3" s="73" t="s">
        <v>40</v>
      </c>
      <c r="D3" s="73" t="s">
        <v>50</v>
      </c>
      <c r="E3" t="s">
        <v>42</v>
      </c>
      <c r="F3" s="73" t="s">
        <v>43</v>
      </c>
      <c r="G3" s="73" t="s">
        <v>45</v>
      </c>
      <c r="H3" s="73" t="s">
        <v>46</v>
      </c>
      <c r="I3" t="s">
        <v>51</v>
      </c>
      <c r="J3" s="73" t="s">
        <v>52</v>
      </c>
      <c r="K3" s="71">
        <v>45300</v>
      </c>
      <c r="L3" s="73" t="s">
        <v>49</v>
      </c>
      <c r="N3" s="11">
        <f>IF(ISBLANK(Calculate_Technical_Metadata___Column[[#This Row],[System/Data Subject Area Name]])=TRUE, 0, 1)</f>
        <v>1</v>
      </c>
      <c r="O3" s="11">
        <f>IF(ISBLANK(Calculate_Technical_Metadata___Column[[#This Row],[Schema/Database Name]])=TRUE, 0, 1)</f>
        <v>1</v>
      </c>
      <c r="P3" s="11">
        <f>IF(ISBLANK(Calculate_Technical_Metadata___Column[[#This Row],[Data Set Name]])=TRUE, 0, 1)</f>
        <v>1</v>
      </c>
      <c r="Q3" s="11">
        <f>IF(ISBLANK(Calculate_Technical_Metadata___Column[[#This Row],[Column Name]])=TRUE, 0, 1)</f>
        <v>1</v>
      </c>
      <c r="R3" s="11">
        <f>IF(ISBLANK(Calculate_Technical_Metadata___Column[[#This Row],[Data Zone (MDZ/GDZ)]])=TRUE, 0, 1)</f>
        <v>1</v>
      </c>
      <c r="S3" s="11">
        <f>IF(ISBLANK(Calculate_Technical_Metadata___Column[[#This Row],[PII/Non-PII]])=TRUE, 0, 1)</f>
        <v>1</v>
      </c>
      <c r="T3" s="11">
        <f>IF(ISBLANK(Calculate_Technical_Metadata___Column[[#This Row],[Type]])=TRUE, 0, 1)</f>
        <v>1</v>
      </c>
      <c r="U3" s="11">
        <f>IF(ISBLANK(Calculate_Technical_Metadata___Column[[#This Row],[Format]])=TRUE, 0, 1)</f>
        <v>1</v>
      </c>
      <c r="V3" s="11">
        <f>IF(ISBLANK(Calculate_Technical_Metadata___Column[[#This Row],[Nullable]])=TRUE, 0, 1)</f>
        <v>1</v>
      </c>
      <c r="W3" s="11">
        <f>IF(ISBLANK(Calculate_Technical_Metadata___Column[[#This Row],[Updated Date ]])=TRUE, 0, 1)</f>
        <v>1</v>
      </c>
      <c r="X3" s="11">
        <f>IF(ISBLANK(Calculate_Technical_Metadata___Column[[#This Row],[Updated By]])=TRUE, 0, 1)</f>
        <v>1</v>
      </c>
      <c r="Z3">
        <f>IF(COUNTIFS('Cal_Technical - Data Set'!A:A, Calculate_Technical_Metadata___Column[[#This Row],[Data Set Name]]) &gt; 0, 1,0)</f>
        <v>1</v>
      </c>
      <c r="AB3">
        <f>IF( COUNTIFS(C:C, Calculate_Technical_Metadata___Column[[#This Row],[Data Set Name]], D:D, Calculate_Technical_Metadata___Column[[#This Row],[Column Name]], A:A, Calculate_Technical_Metadata___Column[[#This Row],[System/Data Subject Area Name]], B:B, Calculate_Technical_Metadata___Column[[#This Row],[Schema/Database Name]]) &lt;&gt; 1, 0, 1)</f>
        <v>1</v>
      </c>
      <c r="AD3" s="11">
        <f>IF(ISERROR(FIND("  ",Calculate_Technical_Metadata___Column[[#This Row],[System/Data Subject Area Name]], 1))=TRUE, 1, 0)</f>
        <v>1</v>
      </c>
      <c r="AE3" s="11">
        <f>IF(ISERROR(FIND(" ",Calculate_Technical_Metadata___Column[[#This Row],[Schema/Database Name]], 1))=TRUE, 1, 0)</f>
        <v>1</v>
      </c>
      <c r="AF3" s="11">
        <f>IF(OR(ISERROR(FIND(" ",Calculate_Technical_Metadata___Column[[#This Row],[Data Set Name]], 1))=TRUE, ISERROR(FIND("__",Calculate_Technical_Metadata___Column[[#This Row],[Data Set Name]], 1))=TRUE)=TRUE, 1, 0)</f>
        <v>1</v>
      </c>
      <c r="AG3" s="11">
        <f>IF(ISERROR(FIND(" ",Calculate_Technical_Metadata___Column[[#This Row],[Column Name]], 1))=TRUE, 1, 0)</f>
        <v>1</v>
      </c>
      <c r="AH3" s="11">
        <f>IF(ISERROR(FIND("  ",Calculate_Technical_Metadata___Column[[#This Row],[Updated By]], 1))=TRUE, 1, 0)</f>
        <v>1</v>
      </c>
      <c r="AJ3">
        <f>IF(OR(Calculate_Technical_Metadata___Column[[#This Row],[Data Zone (MDZ/GDZ)]]="GDZ",Calculate_Technical_Metadata___Column[[#This Row],[Data Zone (MDZ/GDZ)]]= "MDZ",Calculate_Technical_Metadata___Column[[#This Row],[Data Zone (MDZ/GDZ)]]= "INVX Data Lake")=TRUE, 1, 0)</f>
        <v>1</v>
      </c>
      <c r="AK3" s="11">
        <f>IF(OR(Calculate_Technical_Metadata___Column[[#This Row],[PII/Non-PII]]="PII",Calculate_Technical_Metadata___Column[[#This Row],[PII/Non-PII]]= "Non-PII")=TRUE, 1, 0)</f>
        <v>1</v>
      </c>
      <c r="AL3" s="11" t="str">
        <f xml:space="preserve"> IF(ISERROR(FIND("(",Calculate_Technical_Metadata___Column[[#This Row],[Type]], 1)) = FALSE, _xlfn.TEXTBEFORE(Calculate_Technical_Metadata___Column[[#This Row],[Type]], "("),Calculate_Technical_Metadata___Column[[#This Row],[Type]])</f>
        <v>string</v>
      </c>
      <c r="AM3" s="11">
        <f>IF(COUNTIF(Type!A:A,Calculate_Technical_Metadata___Column[[#This Row],[Type]]) &gt; 0, 1, 0)</f>
        <v>1</v>
      </c>
      <c r="AN3" s="13">
        <f>IF(OR(Calculate_Technical_Metadata___Column[[#This Row],[Nullable]]="Yes",Calculate_Technical_Metadata___Column[[#This Row],[Nullable]]="No")=TRUE, 1, 0)</f>
        <v>1</v>
      </c>
    </row>
    <row r="4" spans="1:40" x14ac:dyDescent="0.3">
      <c r="A4" s="73" t="s">
        <v>38</v>
      </c>
      <c r="B4" s="73" t="s">
        <v>39</v>
      </c>
      <c r="C4" s="73" t="s">
        <v>40</v>
      </c>
      <c r="D4" s="73" t="s">
        <v>53</v>
      </c>
      <c r="E4" t="s">
        <v>42</v>
      </c>
      <c r="F4" s="73" t="s">
        <v>54</v>
      </c>
      <c r="G4" s="73" t="s">
        <v>45</v>
      </c>
      <c r="H4" s="73" t="s">
        <v>55</v>
      </c>
      <c r="I4" t="s">
        <v>56</v>
      </c>
      <c r="J4" s="73" t="s">
        <v>48</v>
      </c>
      <c r="K4" s="71">
        <v>45264</v>
      </c>
      <c r="L4" s="73" t="s">
        <v>57</v>
      </c>
      <c r="N4" s="11">
        <f>IF(ISBLANK(Calculate_Technical_Metadata___Column[[#This Row],[System/Data Subject Area Name]])=TRUE, 0, 1)</f>
        <v>1</v>
      </c>
      <c r="O4" s="11">
        <f>IF(ISBLANK(Calculate_Technical_Metadata___Column[[#This Row],[Schema/Database Name]])=TRUE, 0, 1)</f>
        <v>1</v>
      </c>
      <c r="P4" s="11">
        <f>IF(ISBLANK(Calculate_Technical_Metadata___Column[[#This Row],[Data Set Name]])=TRUE, 0, 1)</f>
        <v>1</v>
      </c>
      <c r="Q4" s="11">
        <f>IF(ISBLANK(Calculate_Technical_Metadata___Column[[#This Row],[Column Name]])=TRUE, 0, 1)</f>
        <v>1</v>
      </c>
      <c r="R4" s="11">
        <f>IF(ISBLANK(Calculate_Technical_Metadata___Column[[#This Row],[Data Zone (MDZ/GDZ)]])=TRUE, 0, 1)</f>
        <v>1</v>
      </c>
      <c r="S4" s="11">
        <f>IF(ISBLANK(Calculate_Technical_Metadata___Column[[#This Row],[PII/Non-PII]])=TRUE, 0, 1)</f>
        <v>1</v>
      </c>
      <c r="T4" s="11">
        <f>IF(ISBLANK(Calculate_Technical_Metadata___Column[[#This Row],[Type]])=TRUE, 0, 1)</f>
        <v>1</v>
      </c>
      <c r="U4" s="11">
        <f>IF(ISBLANK(Calculate_Technical_Metadata___Column[[#This Row],[Format]])=TRUE, 0, 1)</f>
        <v>1</v>
      </c>
      <c r="V4" s="11">
        <f>IF(ISBLANK(Calculate_Technical_Metadata___Column[[#This Row],[Nullable]])=TRUE, 0, 1)</f>
        <v>1</v>
      </c>
      <c r="W4" s="11">
        <f>IF(ISBLANK(Calculate_Technical_Metadata___Column[[#This Row],[Updated Date ]])=TRUE, 0, 1)</f>
        <v>1</v>
      </c>
      <c r="X4" s="11">
        <f>IF(ISBLANK(Calculate_Technical_Metadata___Column[[#This Row],[Updated By]])=TRUE, 0, 1)</f>
        <v>1</v>
      </c>
      <c r="Z4">
        <f>IF(COUNTIFS('Cal_Technical - Data Set'!A:A, Calculate_Technical_Metadata___Column[[#This Row],[Data Set Name]]) &gt; 0, 1,0)</f>
        <v>1</v>
      </c>
      <c r="AB4">
        <f>IF( COUNTIFS(C:C, Calculate_Technical_Metadata___Column[[#This Row],[Data Set Name]], D:D, Calculate_Technical_Metadata___Column[[#This Row],[Column Name]], A:A, Calculate_Technical_Metadata___Column[[#This Row],[System/Data Subject Area Name]], B:B, Calculate_Technical_Metadata___Column[[#This Row],[Schema/Database Name]]) &lt;&gt; 1, 0, 1)</f>
        <v>1</v>
      </c>
      <c r="AD4" s="11">
        <f>IF(ISERROR(FIND("  ",Calculate_Technical_Metadata___Column[[#This Row],[System/Data Subject Area Name]], 1))=TRUE, 1, 0)</f>
        <v>1</v>
      </c>
      <c r="AE4" s="11">
        <f>IF(ISERROR(FIND(" ",Calculate_Technical_Metadata___Column[[#This Row],[Schema/Database Name]], 1))=TRUE, 1, 0)</f>
        <v>1</v>
      </c>
      <c r="AF4" s="11">
        <f>IF(OR(ISERROR(FIND(" ",Calculate_Technical_Metadata___Column[[#This Row],[Data Set Name]], 1))=TRUE, ISERROR(FIND("__",Calculate_Technical_Metadata___Column[[#This Row],[Data Set Name]], 1))=TRUE)=TRUE, 1, 0)</f>
        <v>1</v>
      </c>
      <c r="AG4" s="11">
        <f>IF(ISERROR(FIND(" ",Calculate_Technical_Metadata___Column[[#This Row],[Column Name]], 1))=TRUE, 1, 0)</f>
        <v>1</v>
      </c>
      <c r="AH4" s="11">
        <f>IF(ISERROR(FIND("  ",Calculate_Technical_Metadata___Column[[#This Row],[Updated By]], 1))=TRUE, 1, 0)</f>
        <v>1</v>
      </c>
      <c r="AJ4">
        <f>IF(OR(Calculate_Technical_Metadata___Column[[#This Row],[Data Zone (MDZ/GDZ)]]="GDZ",Calculate_Technical_Metadata___Column[[#This Row],[Data Zone (MDZ/GDZ)]]= "MDZ",Calculate_Technical_Metadata___Column[[#This Row],[Data Zone (MDZ/GDZ)]]= "INVX Data Lake")=TRUE, 1, 0)</f>
        <v>1</v>
      </c>
      <c r="AK4" s="11">
        <f>IF(OR(Calculate_Technical_Metadata___Column[[#This Row],[PII/Non-PII]]="PII",Calculate_Technical_Metadata___Column[[#This Row],[PII/Non-PII]]= "Non-PII")=TRUE, 1, 0)</f>
        <v>1</v>
      </c>
      <c r="AL4" s="11" t="str">
        <f xml:space="preserve"> IF(ISERROR(FIND("(",Calculate_Technical_Metadata___Column[[#This Row],[Type]], 1)) = FALSE, _xlfn.TEXTBEFORE(Calculate_Technical_Metadata___Column[[#This Row],[Type]], "("),Calculate_Technical_Metadata___Column[[#This Row],[Type]])</f>
        <v>string</v>
      </c>
      <c r="AM4" s="11">
        <f>IF(COUNTIF(Type!A:A,Calculate_Technical_Metadata___Column[[#This Row],[Type]]) &gt; 0, 1, 0)</f>
        <v>1</v>
      </c>
      <c r="AN4" s="13">
        <f>IF(OR(Calculate_Technical_Metadata___Column[[#This Row],[Nullable]]="Yes",Calculate_Technical_Metadata___Column[[#This Row],[Nullable]]="No")=TRUE, 1, 0)</f>
        <v>1</v>
      </c>
    </row>
    <row r="5" spans="1:40" x14ac:dyDescent="0.3">
      <c r="A5" s="73" t="s">
        <v>38</v>
      </c>
      <c r="B5" s="73" t="s">
        <v>39</v>
      </c>
      <c r="C5" s="73" t="s">
        <v>40</v>
      </c>
      <c r="D5" s="73" t="s">
        <v>58</v>
      </c>
      <c r="E5" t="s">
        <v>42</v>
      </c>
      <c r="F5" s="73" t="s">
        <v>43</v>
      </c>
      <c r="G5" s="73" t="s">
        <v>59</v>
      </c>
      <c r="H5" s="73" t="s">
        <v>60</v>
      </c>
      <c r="I5" t="s">
        <v>47</v>
      </c>
      <c r="J5" s="73" t="s">
        <v>52</v>
      </c>
      <c r="K5" s="71">
        <v>45264</v>
      </c>
      <c r="L5" s="73" t="s">
        <v>57</v>
      </c>
      <c r="N5" s="11">
        <f>IF(ISBLANK(Calculate_Technical_Metadata___Column[[#This Row],[System/Data Subject Area Name]])=TRUE, 0, 1)</f>
        <v>1</v>
      </c>
      <c r="O5" s="11">
        <f>IF(ISBLANK(Calculate_Technical_Metadata___Column[[#This Row],[Schema/Database Name]])=TRUE, 0, 1)</f>
        <v>1</v>
      </c>
      <c r="P5" s="11">
        <f>IF(ISBLANK(Calculate_Technical_Metadata___Column[[#This Row],[Data Set Name]])=TRUE, 0, 1)</f>
        <v>1</v>
      </c>
      <c r="Q5" s="11">
        <f>IF(ISBLANK(Calculate_Technical_Metadata___Column[[#This Row],[Column Name]])=TRUE, 0, 1)</f>
        <v>1</v>
      </c>
      <c r="R5" s="11">
        <f>IF(ISBLANK(Calculate_Technical_Metadata___Column[[#This Row],[Data Zone (MDZ/GDZ)]])=TRUE, 0, 1)</f>
        <v>1</v>
      </c>
      <c r="S5" s="11">
        <f>IF(ISBLANK(Calculate_Technical_Metadata___Column[[#This Row],[PII/Non-PII]])=TRUE, 0, 1)</f>
        <v>1</v>
      </c>
      <c r="T5" s="11">
        <f>IF(ISBLANK(Calculate_Technical_Metadata___Column[[#This Row],[Type]])=TRUE, 0, 1)</f>
        <v>1</v>
      </c>
      <c r="U5" s="11">
        <f>IF(ISBLANK(Calculate_Technical_Metadata___Column[[#This Row],[Format]])=TRUE, 0, 1)</f>
        <v>1</v>
      </c>
      <c r="V5" s="11">
        <f>IF(ISBLANK(Calculate_Technical_Metadata___Column[[#This Row],[Nullable]])=TRUE, 0, 1)</f>
        <v>1</v>
      </c>
      <c r="W5" s="11">
        <f>IF(ISBLANK(Calculate_Technical_Metadata___Column[[#This Row],[Updated Date ]])=TRUE, 0, 1)</f>
        <v>1</v>
      </c>
      <c r="X5" s="11">
        <f>IF(ISBLANK(Calculate_Technical_Metadata___Column[[#This Row],[Updated By]])=TRUE, 0, 1)</f>
        <v>1</v>
      </c>
      <c r="Z5">
        <f>IF(COUNTIFS('Cal_Technical - Data Set'!A:A, Calculate_Technical_Metadata___Column[[#This Row],[Data Set Name]]) &gt; 0, 1,0)</f>
        <v>1</v>
      </c>
      <c r="AB5">
        <f>IF( COUNTIFS(C:C, Calculate_Technical_Metadata___Column[[#This Row],[Data Set Name]], D:D, Calculate_Technical_Metadata___Column[[#This Row],[Column Name]], A:A, Calculate_Technical_Metadata___Column[[#This Row],[System/Data Subject Area Name]], B:B, Calculate_Technical_Metadata___Column[[#This Row],[Schema/Database Name]]) &lt;&gt; 1, 0, 1)</f>
        <v>1</v>
      </c>
      <c r="AD5" s="11">
        <f>IF(ISERROR(FIND("  ",Calculate_Technical_Metadata___Column[[#This Row],[System/Data Subject Area Name]], 1))=TRUE, 1, 0)</f>
        <v>1</v>
      </c>
      <c r="AE5" s="11">
        <f>IF(ISERROR(FIND(" ",Calculate_Technical_Metadata___Column[[#This Row],[Schema/Database Name]], 1))=TRUE, 1, 0)</f>
        <v>1</v>
      </c>
      <c r="AF5" s="11">
        <f>IF(OR(ISERROR(FIND(" ",Calculate_Technical_Metadata___Column[[#This Row],[Data Set Name]], 1))=TRUE, ISERROR(FIND("__",Calculate_Technical_Metadata___Column[[#This Row],[Data Set Name]], 1))=TRUE)=TRUE, 1, 0)</f>
        <v>1</v>
      </c>
      <c r="AG5" s="11">
        <f>IF(ISERROR(FIND(" ",Calculate_Technical_Metadata___Column[[#This Row],[Column Name]], 1))=TRUE, 1, 0)</f>
        <v>1</v>
      </c>
      <c r="AH5" s="11">
        <f>IF(ISERROR(FIND("  ",Calculate_Technical_Metadata___Column[[#This Row],[Updated By]], 1))=TRUE, 1, 0)</f>
        <v>1</v>
      </c>
      <c r="AJ5">
        <f>IF(OR(Calculate_Technical_Metadata___Column[[#This Row],[Data Zone (MDZ/GDZ)]]="GDZ",Calculate_Technical_Metadata___Column[[#This Row],[Data Zone (MDZ/GDZ)]]= "MDZ",Calculate_Technical_Metadata___Column[[#This Row],[Data Zone (MDZ/GDZ)]]= "INVX Data Lake")=TRUE, 1, 0)</f>
        <v>1</v>
      </c>
      <c r="AK5" s="11">
        <f>IF(OR(Calculate_Technical_Metadata___Column[[#This Row],[PII/Non-PII]]="PII",Calculate_Technical_Metadata___Column[[#This Row],[PII/Non-PII]]= "Non-PII")=TRUE, 1, 0)</f>
        <v>1</v>
      </c>
      <c r="AL5" s="11" t="str">
        <f xml:space="preserve"> IF(ISERROR(FIND("(",Calculate_Technical_Metadata___Column[[#This Row],[Type]], 1)) = FALSE, _xlfn.TEXTBEFORE(Calculate_Technical_Metadata___Column[[#This Row],[Type]], "("),Calculate_Technical_Metadata___Column[[#This Row],[Type]])</f>
        <v>Date</v>
      </c>
      <c r="AM5" s="11">
        <f>IF(COUNTIF(Type!A:A,Calculate_Technical_Metadata___Column[[#This Row],[Type]]) &gt; 0, 1, 0)</f>
        <v>1</v>
      </c>
      <c r="AN5" s="13">
        <f>IF(OR(Calculate_Technical_Metadata___Column[[#This Row],[Nullable]]="Yes",Calculate_Technical_Metadata___Column[[#This Row],[Nullable]]="No")=TRUE, 1, 0)</f>
        <v>1</v>
      </c>
    </row>
    <row r="6" spans="1:40" x14ac:dyDescent="0.3">
      <c r="A6" s="73" t="s">
        <v>38</v>
      </c>
      <c r="B6" s="73" t="s">
        <v>39</v>
      </c>
      <c r="C6" s="73" t="s">
        <v>40</v>
      </c>
      <c r="D6" s="73" t="s">
        <v>61</v>
      </c>
      <c r="E6" t="s">
        <v>42</v>
      </c>
      <c r="F6" s="73" t="s">
        <v>43</v>
      </c>
      <c r="G6" s="73" t="s">
        <v>45</v>
      </c>
      <c r="H6" s="73" t="s">
        <v>46</v>
      </c>
      <c r="I6" t="s">
        <v>62</v>
      </c>
      <c r="J6" s="73" t="s">
        <v>52</v>
      </c>
      <c r="K6" s="71">
        <v>45300</v>
      </c>
      <c r="L6" s="73" t="s">
        <v>49</v>
      </c>
      <c r="N6" s="11">
        <f>IF(ISBLANK(Calculate_Technical_Metadata___Column[[#This Row],[System/Data Subject Area Name]])=TRUE, 0, 1)</f>
        <v>1</v>
      </c>
      <c r="O6" s="11">
        <f>IF(ISBLANK(Calculate_Technical_Metadata___Column[[#This Row],[Schema/Database Name]])=TRUE, 0, 1)</f>
        <v>1</v>
      </c>
      <c r="P6" s="11">
        <f>IF(ISBLANK(Calculate_Technical_Metadata___Column[[#This Row],[Data Set Name]])=TRUE, 0, 1)</f>
        <v>1</v>
      </c>
      <c r="Q6" s="11">
        <f>IF(ISBLANK(Calculate_Technical_Metadata___Column[[#This Row],[Column Name]])=TRUE, 0, 1)</f>
        <v>1</v>
      </c>
      <c r="R6" s="11">
        <f>IF(ISBLANK(Calculate_Technical_Metadata___Column[[#This Row],[Data Zone (MDZ/GDZ)]])=TRUE, 0, 1)</f>
        <v>1</v>
      </c>
      <c r="S6" s="11">
        <f>IF(ISBLANK(Calculate_Technical_Metadata___Column[[#This Row],[PII/Non-PII]])=TRUE, 0, 1)</f>
        <v>1</v>
      </c>
      <c r="T6" s="11">
        <f>IF(ISBLANK(Calculate_Technical_Metadata___Column[[#This Row],[Type]])=TRUE, 0, 1)</f>
        <v>1</v>
      </c>
      <c r="U6" s="11">
        <f>IF(ISBLANK(Calculate_Technical_Metadata___Column[[#This Row],[Format]])=TRUE, 0, 1)</f>
        <v>1</v>
      </c>
      <c r="V6" s="11">
        <f>IF(ISBLANK(Calculate_Technical_Metadata___Column[[#This Row],[Nullable]])=TRUE, 0, 1)</f>
        <v>1</v>
      </c>
      <c r="W6" s="11">
        <f>IF(ISBLANK(Calculate_Technical_Metadata___Column[[#This Row],[Updated Date ]])=TRUE, 0, 1)</f>
        <v>1</v>
      </c>
      <c r="X6" s="11">
        <f>IF(ISBLANK(Calculate_Technical_Metadata___Column[[#This Row],[Updated By]])=TRUE, 0, 1)</f>
        <v>1</v>
      </c>
      <c r="Z6">
        <f>IF(COUNTIFS('Cal_Technical - Data Set'!A:A, Calculate_Technical_Metadata___Column[[#This Row],[Data Set Name]]) &gt; 0, 1,0)</f>
        <v>1</v>
      </c>
      <c r="AB6">
        <f>IF( COUNTIFS(C:C, Calculate_Technical_Metadata___Column[[#This Row],[Data Set Name]], D:D, Calculate_Technical_Metadata___Column[[#This Row],[Column Name]], A:A, Calculate_Technical_Metadata___Column[[#This Row],[System/Data Subject Area Name]], B:B, Calculate_Technical_Metadata___Column[[#This Row],[Schema/Database Name]]) &lt;&gt; 1, 0, 1)</f>
        <v>1</v>
      </c>
      <c r="AD6" s="11">
        <f>IF(ISERROR(FIND("  ",Calculate_Technical_Metadata___Column[[#This Row],[System/Data Subject Area Name]], 1))=TRUE, 1, 0)</f>
        <v>1</v>
      </c>
      <c r="AE6" s="11">
        <f>IF(ISERROR(FIND(" ",Calculate_Technical_Metadata___Column[[#This Row],[Schema/Database Name]], 1))=TRUE, 1, 0)</f>
        <v>1</v>
      </c>
      <c r="AF6" s="11">
        <f>IF(OR(ISERROR(FIND(" ",Calculate_Technical_Metadata___Column[[#This Row],[Data Set Name]], 1))=TRUE, ISERROR(FIND("__",Calculate_Technical_Metadata___Column[[#This Row],[Data Set Name]], 1))=TRUE)=TRUE, 1, 0)</f>
        <v>1</v>
      </c>
      <c r="AG6" s="11">
        <f>IF(ISERROR(FIND(" ",Calculate_Technical_Metadata___Column[[#This Row],[Column Name]], 1))=TRUE, 1, 0)</f>
        <v>1</v>
      </c>
      <c r="AH6" s="11">
        <f>IF(ISERROR(FIND("  ",Calculate_Technical_Metadata___Column[[#This Row],[Updated By]], 1))=TRUE, 1, 0)</f>
        <v>1</v>
      </c>
      <c r="AJ6">
        <f>IF(OR(Calculate_Technical_Metadata___Column[[#This Row],[Data Zone (MDZ/GDZ)]]="GDZ",Calculate_Technical_Metadata___Column[[#This Row],[Data Zone (MDZ/GDZ)]]= "MDZ",Calculate_Technical_Metadata___Column[[#This Row],[Data Zone (MDZ/GDZ)]]= "INVX Data Lake")=TRUE, 1, 0)</f>
        <v>1</v>
      </c>
      <c r="AK6" s="11">
        <f>IF(OR(Calculate_Technical_Metadata___Column[[#This Row],[PII/Non-PII]]="PII",Calculate_Technical_Metadata___Column[[#This Row],[PII/Non-PII]]= "Non-PII")=TRUE, 1, 0)</f>
        <v>1</v>
      </c>
      <c r="AL6" s="11" t="str">
        <f xml:space="preserve"> IF(ISERROR(FIND("(",Calculate_Technical_Metadata___Column[[#This Row],[Type]], 1)) = FALSE, _xlfn.TEXTBEFORE(Calculate_Technical_Metadata___Column[[#This Row],[Type]], "("),Calculate_Technical_Metadata___Column[[#This Row],[Type]])</f>
        <v>string</v>
      </c>
      <c r="AM6" s="11">
        <f>IF(COUNTIF(Type!A:A,Calculate_Technical_Metadata___Column[[#This Row],[Type]]) &gt; 0, 1, 0)</f>
        <v>1</v>
      </c>
      <c r="AN6" s="13">
        <f>IF(OR(Calculate_Technical_Metadata___Column[[#This Row],[Nullable]]="Yes",Calculate_Technical_Metadata___Column[[#This Row],[Nullable]]="No")=TRUE, 1, 0)</f>
        <v>1</v>
      </c>
    </row>
    <row r="7" spans="1:40" x14ac:dyDescent="0.3">
      <c r="A7" s="73" t="s">
        <v>38</v>
      </c>
      <c r="B7" s="73" t="s">
        <v>39</v>
      </c>
      <c r="C7" s="73" t="s">
        <v>40</v>
      </c>
      <c r="D7" s="73" t="s">
        <v>63</v>
      </c>
      <c r="E7" t="s">
        <v>42</v>
      </c>
      <c r="F7" s="73" t="s">
        <v>54</v>
      </c>
      <c r="G7" s="73" t="s">
        <v>59</v>
      </c>
      <c r="H7" s="73" t="s">
        <v>60</v>
      </c>
      <c r="I7" t="s">
        <v>47</v>
      </c>
      <c r="J7" s="73" t="s">
        <v>52</v>
      </c>
      <c r="K7" s="71">
        <v>45264</v>
      </c>
      <c r="L7" s="73" t="s">
        <v>57</v>
      </c>
      <c r="N7" s="11">
        <f>IF(ISBLANK(Calculate_Technical_Metadata___Column[[#This Row],[System/Data Subject Area Name]])=TRUE, 0, 1)</f>
        <v>1</v>
      </c>
      <c r="O7" s="11">
        <f>IF(ISBLANK(Calculate_Technical_Metadata___Column[[#This Row],[Schema/Database Name]])=TRUE, 0, 1)</f>
        <v>1</v>
      </c>
      <c r="P7" s="11">
        <f>IF(ISBLANK(Calculate_Technical_Metadata___Column[[#This Row],[Data Set Name]])=TRUE, 0, 1)</f>
        <v>1</v>
      </c>
      <c r="Q7" s="11">
        <f>IF(ISBLANK(Calculate_Technical_Metadata___Column[[#This Row],[Column Name]])=TRUE, 0, 1)</f>
        <v>1</v>
      </c>
      <c r="R7" s="11">
        <f>IF(ISBLANK(Calculate_Technical_Metadata___Column[[#This Row],[Data Zone (MDZ/GDZ)]])=TRUE, 0, 1)</f>
        <v>1</v>
      </c>
      <c r="S7" s="11">
        <f>IF(ISBLANK(Calculate_Technical_Metadata___Column[[#This Row],[PII/Non-PII]])=TRUE, 0, 1)</f>
        <v>1</v>
      </c>
      <c r="T7" s="11">
        <f>IF(ISBLANK(Calculate_Technical_Metadata___Column[[#This Row],[Type]])=TRUE, 0, 1)</f>
        <v>1</v>
      </c>
      <c r="U7" s="11">
        <f>IF(ISBLANK(Calculate_Technical_Metadata___Column[[#This Row],[Format]])=TRUE, 0, 1)</f>
        <v>1</v>
      </c>
      <c r="V7" s="11">
        <f>IF(ISBLANK(Calculate_Technical_Metadata___Column[[#This Row],[Nullable]])=TRUE, 0, 1)</f>
        <v>1</v>
      </c>
      <c r="W7" s="11">
        <f>IF(ISBLANK(Calculate_Technical_Metadata___Column[[#This Row],[Updated Date ]])=TRUE, 0, 1)</f>
        <v>1</v>
      </c>
      <c r="X7" s="11">
        <f>IF(ISBLANK(Calculate_Technical_Metadata___Column[[#This Row],[Updated By]])=TRUE, 0, 1)</f>
        <v>1</v>
      </c>
      <c r="Z7">
        <f>IF(COUNTIFS('Cal_Technical - Data Set'!A:A, Calculate_Technical_Metadata___Column[[#This Row],[Data Set Name]]) &gt; 0, 1,0)</f>
        <v>1</v>
      </c>
      <c r="AB7">
        <f>IF( COUNTIFS(C:C, Calculate_Technical_Metadata___Column[[#This Row],[Data Set Name]], D:D, Calculate_Technical_Metadata___Column[[#This Row],[Column Name]], A:A, Calculate_Technical_Metadata___Column[[#This Row],[System/Data Subject Area Name]], B:B, Calculate_Technical_Metadata___Column[[#This Row],[Schema/Database Name]]) &lt;&gt; 1, 0, 1)</f>
        <v>1</v>
      </c>
      <c r="AD7" s="11">
        <f>IF(ISERROR(FIND("  ",Calculate_Technical_Metadata___Column[[#This Row],[System/Data Subject Area Name]], 1))=TRUE, 1, 0)</f>
        <v>1</v>
      </c>
      <c r="AE7" s="11">
        <f>IF(ISERROR(FIND(" ",Calculate_Technical_Metadata___Column[[#This Row],[Schema/Database Name]], 1))=TRUE, 1, 0)</f>
        <v>1</v>
      </c>
      <c r="AF7" s="11">
        <f>IF(OR(ISERROR(FIND(" ",Calculate_Technical_Metadata___Column[[#This Row],[Data Set Name]], 1))=TRUE, ISERROR(FIND("__",Calculate_Technical_Metadata___Column[[#This Row],[Data Set Name]], 1))=TRUE)=TRUE, 1, 0)</f>
        <v>1</v>
      </c>
      <c r="AG7" s="11">
        <f>IF(ISERROR(FIND(" ",Calculate_Technical_Metadata___Column[[#This Row],[Column Name]], 1))=TRUE, 1, 0)</f>
        <v>1</v>
      </c>
      <c r="AH7" s="11">
        <f>IF(ISERROR(FIND("  ",Calculate_Technical_Metadata___Column[[#This Row],[Updated By]], 1))=TRUE, 1, 0)</f>
        <v>1</v>
      </c>
      <c r="AJ7">
        <f>IF(OR(Calculate_Technical_Metadata___Column[[#This Row],[Data Zone (MDZ/GDZ)]]="GDZ",Calculate_Technical_Metadata___Column[[#This Row],[Data Zone (MDZ/GDZ)]]= "MDZ",Calculate_Technical_Metadata___Column[[#This Row],[Data Zone (MDZ/GDZ)]]= "INVX Data Lake")=TRUE, 1, 0)</f>
        <v>1</v>
      </c>
      <c r="AK7" s="11">
        <f>IF(OR(Calculate_Technical_Metadata___Column[[#This Row],[PII/Non-PII]]="PII",Calculate_Technical_Metadata___Column[[#This Row],[PII/Non-PII]]= "Non-PII")=TRUE, 1, 0)</f>
        <v>1</v>
      </c>
      <c r="AL7" s="11" t="str">
        <f xml:space="preserve"> IF(ISERROR(FIND("(",Calculate_Technical_Metadata___Column[[#This Row],[Type]], 1)) = FALSE, _xlfn.TEXTBEFORE(Calculate_Technical_Metadata___Column[[#This Row],[Type]], "("),Calculate_Technical_Metadata___Column[[#This Row],[Type]])</f>
        <v>Date</v>
      </c>
      <c r="AM7" s="11">
        <f>IF(COUNTIF(Type!A:A,Calculate_Technical_Metadata___Column[[#This Row],[Type]]) &gt; 0, 1, 0)</f>
        <v>1</v>
      </c>
      <c r="AN7" s="13">
        <f>IF(OR(Calculate_Technical_Metadata___Column[[#This Row],[Nullable]]="Yes",Calculate_Technical_Metadata___Column[[#This Row],[Nullable]]="No")=TRUE, 1, 0)</f>
        <v>1</v>
      </c>
    </row>
    <row r="8" spans="1:40" x14ac:dyDescent="0.3">
      <c r="A8" s="73" t="s">
        <v>38</v>
      </c>
      <c r="B8" s="73" t="s">
        <v>39</v>
      </c>
      <c r="C8" s="73" t="s">
        <v>40</v>
      </c>
      <c r="D8" s="73" t="s">
        <v>64</v>
      </c>
      <c r="E8" t="s">
        <v>42</v>
      </c>
      <c r="F8" s="73" t="s">
        <v>43</v>
      </c>
      <c r="G8" s="73" t="s">
        <v>45</v>
      </c>
      <c r="H8" s="73" t="s">
        <v>46</v>
      </c>
      <c r="I8" t="s">
        <v>51</v>
      </c>
      <c r="J8" s="73" t="s">
        <v>48</v>
      </c>
      <c r="K8" s="71">
        <v>45264</v>
      </c>
      <c r="L8" s="73" t="s">
        <v>57</v>
      </c>
      <c r="N8" s="11">
        <f>IF(ISBLANK(Calculate_Technical_Metadata___Column[[#This Row],[System/Data Subject Area Name]])=TRUE, 0, 1)</f>
        <v>1</v>
      </c>
      <c r="O8" s="11">
        <f>IF(ISBLANK(Calculate_Technical_Metadata___Column[[#This Row],[Schema/Database Name]])=TRUE, 0, 1)</f>
        <v>1</v>
      </c>
      <c r="P8" s="11">
        <f>IF(ISBLANK(Calculate_Technical_Metadata___Column[[#This Row],[Data Set Name]])=TRUE, 0, 1)</f>
        <v>1</v>
      </c>
      <c r="Q8" s="11">
        <f>IF(ISBLANK(Calculate_Technical_Metadata___Column[[#This Row],[Column Name]])=TRUE, 0, 1)</f>
        <v>1</v>
      </c>
      <c r="R8" s="11">
        <f>IF(ISBLANK(Calculate_Technical_Metadata___Column[[#This Row],[Data Zone (MDZ/GDZ)]])=TRUE, 0, 1)</f>
        <v>1</v>
      </c>
      <c r="S8" s="11">
        <f>IF(ISBLANK(Calculate_Technical_Metadata___Column[[#This Row],[PII/Non-PII]])=TRUE, 0, 1)</f>
        <v>1</v>
      </c>
      <c r="T8" s="11">
        <f>IF(ISBLANK(Calculate_Technical_Metadata___Column[[#This Row],[Type]])=TRUE, 0, 1)</f>
        <v>1</v>
      </c>
      <c r="U8" s="11">
        <f>IF(ISBLANK(Calculate_Technical_Metadata___Column[[#This Row],[Format]])=TRUE, 0, 1)</f>
        <v>1</v>
      </c>
      <c r="V8" s="11">
        <f>IF(ISBLANK(Calculate_Technical_Metadata___Column[[#This Row],[Nullable]])=TRUE, 0, 1)</f>
        <v>1</v>
      </c>
      <c r="W8" s="11">
        <f>IF(ISBLANK(Calculate_Technical_Metadata___Column[[#This Row],[Updated Date ]])=TRUE, 0, 1)</f>
        <v>1</v>
      </c>
      <c r="X8" s="11">
        <f>IF(ISBLANK(Calculate_Technical_Metadata___Column[[#This Row],[Updated By]])=TRUE, 0, 1)</f>
        <v>1</v>
      </c>
      <c r="Z8">
        <f>IF(COUNTIFS('Cal_Technical - Data Set'!A:A, Calculate_Technical_Metadata___Column[[#This Row],[Data Set Name]]) &gt; 0, 1,0)</f>
        <v>1</v>
      </c>
      <c r="AB8">
        <f>IF( COUNTIFS(C:C, Calculate_Technical_Metadata___Column[[#This Row],[Data Set Name]], D:D, Calculate_Technical_Metadata___Column[[#This Row],[Column Name]], A:A, Calculate_Technical_Metadata___Column[[#This Row],[System/Data Subject Area Name]], B:B, Calculate_Technical_Metadata___Column[[#This Row],[Schema/Database Name]]) &lt;&gt; 1, 0, 1)</f>
        <v>1</v>
      </c>
      <c r="AD8" s="11">
        <f>IF(ISERROR(FIND("  ",Calculate_Technical_Metadata___Column[[#This Row],[System/Data Subject Area Name]], 1))=TRUE, 1, 0)</f>
        <v>1</v>
      </c>
      <c r="AE8" s="11">
        <f>IF(ISERROR(FIND(" ",Calculate_Technical_Metadata___Column[[#This Row],[Schema/Database Name]], 1))=TRUE, 1, 0)</f>
        <v>1</v>
      </c>
      <c r="AF8" s="11">
        <f>IF(OR(ISERROR(FIND(" ",Calculate_Technical_Metadata___Column[[#This Row],[Data Set Name]], 1))=TRUE, ISERROR(FIND("__",Calculate_Technical_Metadata___Column[[#This Row],[Data Set Name]], 1))=TRUE)=TRUE, 1, 0)</f>
        <v>1</v>
      </c>
      <c r="AG8" s="11">
        <f>IF(ISERROR(FIND(" ",Calculate_Technical_Metadata___Column[[#This Row],[Column Name]], 1))=TRUE, 1, 0)</f>
        <v>1</v>
      </c>
      <c r="AH8" s="11">
        <f>IF(ISERROR(FIND("  ",Calculate_Technical_Metadata___Column[[#This Row],[Updated By]], 1))=TRUE, 1, 0)</f>
        <v>1</v>
      </c>
      <c r="AJ8">
        <f>IF(OR(Calculate_Technical_Metadata___Column[[#This Row],[Data Zone (MDZ/GDZ)]]="GDZ",Calculate_Technical_Metadata___Column[[#This Row],[Data Zone (MDZ/GDZ)]]= "MDZ",Calculate_Technical_Metadata___Column[[#This Row],[Data Zone (MDZ/GDZ)]]= "INVX Data Lake")=TRUE, 1, 0)</f>
        <v>1</v>
      </c>
      <c r="AK8" s="11">
        <f>IF(OR(Calculate_Technical_Metadata___Column[[#This Row],[PII/Non-PII]]="PII",Calculate_Technical_Metadata___Column[[#This Row],[PII/Non-PII]]= "Non-PII")=TRUE, 1, 0)</f>
        <v>1</v>
      </c>
      <c r="AL8" s="11" t="str">
        <f xml:space="preserve"> IF(ISERROR(FIND("(",Calculate_Technical_Metadata___Column[[#This Row],[Type]], 1)) = FALSE, _xlfn.TEXTBEFORE(Calculate_Technical_Metadata___Column[[#This Row],[Type]], "("),Calculate_Technical_Metadata___Column[[#This Row],[Type]])</f>
        <v>string</v>
      </c>
      <c r="AM8" s="11">
        <f>IF(COUNTIF(Type!A:A,Calculate_Technical_Metadata___Column[[#This Row],[Type]]) &gt; 0, 1, 0)</f>
        <v>1</v>
      </c>
      <c r="AN8" s="13">
        <f>IF(OR(Calculate_Technical_Metadata___Column[[#This Row],[Nullable]]="Yes",Calculate_Technical_Metadata___Column[[#This Row],[Nullable]]="No")=TRUE, 1, 0)</f>
        <v>1</v>
      </c>
    </row>
    <row r="9" spans="1:40" x14ac:dyDescent="0.3">
      <c r="A9" s="73" t="s">
        <v>38</v>
      </c>
      <c r="B9" s="73" t="s">
        <v>39</v>
      </c>
      <c r="C9" s="73" t="s">
        <v>40</v>
      </c>
      <c r="D9" s="73" t="s">
        <v>65</v>
      </c>
      <c r="E9" t="s">
        <v>42</v>
      </c>
      <c r="F9" s="73" t="s">
        <v>54</v>
      </c>
      <c r="G9" s="73" t="s">
        <v>45</v>
      </c>
      <c r="H9" s="73" t="s">
        <v>55</v>
      </c>
      <c r="I9" t="s">
        <v>66</v>
      </c>
      <c r="J9" s="73" t="s">
        <v>52</v>
      </c>
      <c r="K9" s="71">
        <v>45300</v>
      </c>
      <c r="L9" s="73" t="s">
        <v>49</v>
      </c>
      <c r="N9" s="11">
        <f>IF(ISBLANK(Calculate_Technical_Metadata___Column[[#This Row],[System/Data Subject Area Name]])=TRUE, 0, 1)</f>
        <v>1</v>
      </c>
      <c r="O9" s="11">
        <f>IF(ISBLANK(Calculate_Technical_Metadata___Column[[#This Row],[Schema/Database Name]])=TRUE, 0, 1)</f>
        <v>1</v>
      </c>
      <c r="P9" s="11">
        <f>IF(ISBLANK(Calculate_Technical_Metadata___Column[[#This Row],[Data Set Name]])=TRUE, 0, 1)</f>
        <v>1</v>
      </c>
      <c r="Q9" s="11">
        <f>IF(ISBLANK(Calculate_Technical_Metadata___Column[[#This Row],[Column Name]])=TRUE, 0, 1)</f>
        <v>1</v>
      </c>
      <c r="R9" s="11">
        <f>IF(ISBLANK(Calculate_Technical_Metadata___Column[[#This Row],[Data Zone (MDZ/GDZ)]])=TRUE, 0, 1)</f>
        <v>1</v>
      </c>
      <c r="S9" s="11">
        <f>IF(ISBLANK(Calculate_Technical_Metadata___Column[[#This Row],[PII/Non-PII]])=TRUE, 0, 1)</f>
        <v>1</v>
      </c>
      <c r="T9" s="11">
        <f>IF(ISBLANK(Calculate_Technical_Metadata___Column[[#This Row],[Type]])=TRUE, 0, 1)</f>
        <v>1</v>
      </c>
      <c r="U9" s="11">
        <f>IF(ISBLANK(Calculate_Technical_Metadata___Column[[#This Row],[Format]])=TRUE, 0, 1)</f>
        <v>1</v>
      </c>
      <c r="V9" s="11">
        <f>IF(ISBLANK(Calculate_Technical_Metadata___Column[[#This Row],[Nullable]])=TRUE, 0, 1)</f>
        <v>1</v>
      </c>
      <c r="W9" s="11">
        <f>IF(ISBLANK(Calculate_Technical_Metadata___Column[[#This Row],[Updated Date ]])=TRUE, 0, 1)</f>
        <v>1</v>
      </c>
      <c r="X9" s="11">
        <f>IF(ISBLANK(Calculate_Technical_Metadata___Column[[#This Row],[Updated By]])=TRUE, 0, 1)</f>
        <v>1</v>
      </c>
      <c r="Z9">
        <f>IF(COUNTIFS('Cal_Technical - Data Set'!A:A, Calculate_Technical_Metadata___Column[[#This Row],[Data Set Name]]) &gt; 0, 1,0)</f>
        <v>1</v>
      </c>
      <c r="AB9">
        <f>IF( COUNTIFS(C:C, Calculate_Technical_Metadata___Column[[#This Row],[Data Set Name]], D:D, Calculate_Technical_Metadata___Column[[#This Row],[Column Name]], A:A, Calculate_Technical_Metadata___Column[[#This Row],[System/Data Subject Area Name]], B:B, Calculate_Technical_Metadata___Column[[#This Row],[Schema/Database Name]]) &lt;&gt; 1, 0, 1)</f>
        <v>1</v>
      </c>
      <c r="AD9" s="11">
        <f>IF(ISERROR(FIND("  ",Calculate_Technical_Metadata___Column[[#This Row],[System/Data Subject Area Name]], 1))=TRUE, 1, 0)</f>
        <v>1</v>
      </c>
      <c r="AE9" s="11">
        <f>IF(ISERROR(FIND(" ",Calculate_Technical_Metadata___Column[[#This Row],[Schema/Database Name]], 1))=TRUE, 1, 0)</f>
        <v>1</v>
      </c>
      <c r="AF9" s="11">
        <f>IF(OR(ISERROR(FIND(" ",Calculate_Technical_Metadata___Column[[#This Row],[Data Set Name]], 1))=TRUE, ISERROR(FIND("__",Calculate_Technical_Metadata___Column[[#This Row],[Data Set Name]], 1))=TRUE)=TRUE, 1, 0)</f>
        <v>1</v>
      </c>
      <c r="AG9" s="11">
        <f>IF(ISERROR(FIND(" ",Calculate_Technical_Metadata___Column[[#This Row],[Column Name]], 1))=TRUE, 1, 0)</f>
        <v>1</v>
      </c>
      <c r="AH9" s="11">
        <f>IF(ISERROR(FIND("  ",Calculate_Technical_Metadata___Column[[#This Row],[Updated By]], 1))=TRUE, 1, 0)</f>
        <v>1</v>
      </c>
      <c r="AJ9">
        <f>IF(OR(Calculate_Technical_Metadata___Column[[#This Row],[Data Zone (MDZ/GDZ)]]="GDZ",Calculate_Technical_Metadata___Column[[#This Row],[Data Zone (MDZ/GDZ)]]= "MDZ",Calculate_Technical_Metadata___Column[[#This Row],[Data Zone (MDZ/GDZ)]]= "INVX Data Lake")=TRUE, 1, 0)</f>
        <v>1</v>
      </c>
      <c r="AK9" s="11">
        <f>IF(OR(Calculate_Technical_Metadata___Column[[#This Row],[PII/Non-PII]]="PII",Calculate_Technical_Metadata___Column[[#This Row],[PII/Non-PII]]= "Non-PII")=TRUE, 1, 0)</f>
        <v>1</v>
      </c>
      <c r="AL9" s="11" t="str">
        <f xml:space="preserve"> IF(ISERROR(FIND("(",Calculate_Technical_Metadata___Column[[#This Row],[Type]], 1)) = FALSE, _xlfn.TEXTBEFORE(Calculate_Technical_Metadata___Column[[#This Row],[Type]], "("),Calculate_Technical_Metadata___Column[[#This Row],[Type]])</f>
        <v>string</v>
      </c>
      <c r="AM9" s="11">
        <f>IF(COUNTIF(Type!A:A,Calculate_Technical_Metadata___Column[[#This Row],[Type]]) &gt; 0, 1, 0)</f>
        <v>1</v>
      </c>
      <c r="AN9" s="13">
        <f>IF(OR(Calculate_Technical_Metadata___Column[[#This Row],[Nullable]]="Yes",Calculate_Technical_Metadata___Column[[#This Row],[Nullable]]="No")=TRUE, 1, 0)</f>
        <v>1</v>
      </c>
    </row>
    <row r="10" spans="1:40" x14ac:dyDescent="0.3">
      <c r="A10" s="73" t="s">
        <v>38</v>
      </c>
      <c r="B10" s="73" t="s">
        <v>39</v>
      </c>
      <c r="C10" s="73" t="s">
        <v>40</v>
      </c>
      <c r="D10" s="73" t="s">
        <v>67</v>
      </c>
      <c r="E10" t="s">
        <v>42</v>
      </c>
      <c r="F10" s="73" t="s">
        <v>54</v>
      </c>
      <c r="G10" s="73" t="s">
        <v>45</v>
      </c>
      <c r="H10" s="73" t="s">
        <v>55</v>
      </c>
      <c r="I10" t="s">
        <v>66</v>
      </c>
      <c r="J10" s="73" t="s">
        <v>52</v>
      </c>
      <c r="K10" s="71">
        <v>45264</v>
      </c>
      <c r="L10" s="73" t="s">
        <v>57</v>
      </c>
      <c r="N10" s="11">
        <f>IF(ISBLANK(Calculate_Technical_Metadata___Column[[#This Row],[System/Data Subject Area Name]])=TRUE, 0, 1)</f>
        <v>1</v>
      </c>
      <c r="O10" s="11">
        <f>IF(ISBLANK(Calculate_Technical_Metadata___Column[[#This Row],[Schema/Database Name]])=TRUE, 0, 1)</f>
        <v>1</v>
      </c>
      <c r="P10" s="11">
        <f>IF(ISBLANK(Calculate_Technical_Metadata___Column[[#This Row],[Data Set Name]])=TRUE, 0, 1)</f>
        <v>1</v>
      </c>
      <c r="Q10" s="11">
        <f>IF(ISBLANK(Calculate_Technical_Metadata___Column[[#This Row],[Column Name]])=TRUE, 0, 1)</f>
        <v>1</v>
      </c>
      <c r="R10" s="11">
        <f>IF(ISBLANK(Calculate_Technical_Metadata___Column[[#This Row],[Data Zone (MDZ/GDZ)]])=TRUE, 0, 1)</f>
        <v>1</v>
      </c>
      <c r="S10" s="11">
        <f>IF(ISBLANK(Calculate_Technical_Metadata___Column[[#This Row],[PII/Non-PII]])=TRUE, 0, 1)</f>
        <v>1</v>
      </c>
      <c r="T10" s="11">
        <f>IF(ISBLANK(Calculate_Technical_Metadata___Column[[#This Row],[Type]])=TRUE, 0, 1)</f>
        <v>1</v>
      </c>
      <c r="U10" s="11">
        <f>IF(ISBLANK(Calculate_Technical_Metadata___Column[[#This Row],[Format]])=TRUE, 0, 1)</f>
        <v>1</v>
      </c>
      <c r="V10" s="11">
        <f>IF(ISBLANK(Calculate_Technical_Metadata___Column[[#This Row],[Nullable]])=TRUE, 0, 1)</f>
        <v>1</v>
      </c>
      <c r="W10" s="11">
        <f>IF(ISBLANK(Calculate_Technical_Metadata___Column[[#This Row],[Updated Date ]])=TRUE, 0, 1)</f>
        <v>1</v>
      </c>
      <c r="X10" s="11">
        <f>IF(ISBLANK(Calculate_Technical_Metadata___Column[[#This Row],[Updated By]])=TRUE, 0, 1)</f>
        <v>1</v>
      </c>
      <c r="Z10">
        <f>IF(COUNTIFS('Cal_Technical - Data Set'!A:A, Calculate_Technical_Metadata___Column[[#This Row],[Data Set Name]]) &gt; 0, 1,0)</f>
        <v>1</v>
      </c>
      <c r="AB10">
        <f>IF( COUNTIFS(C:C, Calculate_Technical_Metadata___Column[[#This Row],[Data Set Name]], D:D, Calculate_Technical_Metadata___Column[[#This Row],[Column Name]], A:A, Calculate_Technical_Metadata___Column[[#This Row],[System/Data Subject Area Name]], B:B, Calculate_Technical_Metadata___Column[[#This Row],[Schema/Database Name]]) &lt;&gt; 1, 0, 1)</f>
        <v>1</v>
      </c>
      <c r="AD10" s="11">
        <f>IF(ISERROR(FIND("  ",Calculate_Technical_Metadata___Column[[#This Row],[System/Data Subject Area Name]], 1))=TRUE, 1, 0)</f>
        <v>1</v>
      </c>
      <c r="AE10" s="11">
        <f>IF(ISERROR(FIND(" ",Calculate_Technical_Metadata___Column[[#This Row],[Schema/Database Name]], 1))=TRUE, 1, 0)</f>
        <v>1</v>
      </c>
      <c r="AF10" s="11">
        <f>IF(OR(ISERROR(FIND(" ",Calculate_Technical_Metadata___Column[[#This Row],[Data Set Name]], 1))=TRUE, ISERROR(FIND("__",Calculate_Technical_Metadata___Column[[#This Row],[Data Set Name]], 1))=TRUE)=TRUE, 1, 0)</f>
        <v>1</v>
      </c>
      <c r="AG10" s="11">
        <f>IF(ISERROR(FIND(" ",Calculate_Technical_Metadata___Column[[#This Row],[Column Name]], 1))=TRUE, 1, 0)</f>
        <v>1</v>
      </c>
      <c r="AH10" s="11">
        <f>IF(ISERROR(FIND("  ",Calculate_Technical_Metadata___Column[[#This Row],[Updated By]], 1))=TRUE, 1, 0)</f>
        <v>1</v>
      </c>
      <c r="AJ10">
        <f>IF(OR(Calculate_Technical_Metadata___Column[[#This Row],[Data Zone (MDZ/GDZ)]]="GDZ",Calculate_Technical_Metadata___Column[[#This Row],[Data Zone (MDZ/GDZ)]]= "MDZ",Calculate_Technical_Metadata___Column[[#This Row],[Data Zone (MDZ/GDZ)]]= "INVX Data Lake")=TRUE, 1, 0)</f>
        <v>1</v>
      </c>
      <c r="AK10" s="11">
        <f>IF(OR(Calculate_Technical_Metadata___Column[[#This Row],[PII/Non-PII]]="PII",Calculate_Technical_Metadata___Column[[#This Row],[PII/Non-PII]]= "Non-PII")=TRUE, 1, 0)</f>
        <v>1</v>
      </c>
      <c r="AL10" s="11" t="str">
        <f xml:space="preserve"> IF(ISERROR(FIND("(",Calculate_Technical_Metadata___Column[[#This Row],[Type]], 1)) = FALSE, _xlfn.TEXTBEFORE(Calculate_Technical_Metadata___Column[[#This Row],[Type]], "("),Calculate_Technical_Metadata___Column[[#This Row],[Type]])</f>
        <v>string</v>
      </c>
      <c r="AM10" s="11">
        <f>IF(COUNTIF(Type!A:A,Calculate_Technical_Metadata___Column[[#This Row],[Type]]) &gt; 0, 1, 0)</f>
        <v>1</v>
      </c>
      <c r="AN10" s="13">
        <f>IF(OR(Calculate_Technical_Metadata___Column[[#This Row],[Nullable]]="Yes",Calculate_Technical_Metadata___Column[[#This Row],[Nullable]]="No")=TRUE, 1, 0)</f>
        <v>1</v>
      </c>
    </row>
    <row r="11" spans="1:40" x14ac:dyDescent="0.3">
      <c r="A11" s="73" t="s">
        <v>38</v>
      </c>
      <c r="B11" s="73" t="s">
        <v>39</v>
      </c>
      <c r="C11" s="73" t="s">
        <v>40</v>
      </c>
      <c r="D11" s="73" t="s">
        <v>69</v>
      </c>
      <c r="E11" t="s">
        <v>42</v>
      </c>
      <c r="F11" s="73" t="s">
        <v>54</v>
      </c>
      <c r="G11" s="73" t="s">
        <v>45</v>
      </c>
      <c r="H11" s="73" t="s">
        <v>55</v>
      </c>
      <c r="I11" t="s">
        <v>47</v>
      </c>
      <c r="J11" s="73" t="s">
        <v>52</v>
      </c>
      <c r="K11" s="71">
        <v>45264</v>
      </c>
      <c r="L11" s="73" t="s">
        <v>57</v>
      </c>
      <c r="N11" s="11">
        <f>IF(ISBLANK(Calculate_Technical_Metadata___Column[[#This Row],[System/Data Subject Area Name]])=TRUE, 0, 1)</f>
        <v>1</v>
      </c>
      <c r="O11" s="11">
        <f>IF(ISBLANK(Calculate_Technical_Metadata___Column[[#This Row],[Schema/Database Name]])=TRUE, 0, 1)</f>
        <v>1</v>
      </c>
      <c r="P11" s="11">
        <f>IF(ISBLANK(Calculate_Technical_Metadata___Column[[#This Row],[Data Set Name]])=TRUE, 0, 1)</f>
        <v>1</v>
      </c>
      <c r="Q11" s="11">
        <f>IF(ISBLANK(Calculate_Technical_Metadata___Column[[#This Row],[Column Name]])=TRUE, 0, 1)</f>
        <v>1</v>
      </c>
      <c r="R11" s="11">
        <f>IF(ISBLANK(Calculate_Technical_Metadata___Column[[#This Row],[Data Zone (MDZ/GDZ)]])=TRUE, 0, 1)</f>
        <v>1</v>
      </c>
      <c r="S11" s="11">
        <f>IF(ISBLANK(Calculate_Technical_Metadata___Column[[#This Row],[PII/Non-PII]])=TRUE, 0, 1)</f>
        <v>1</v>
      </c>
      <c r="T11" s="11">
        <f>IF(ISBLANK(Calculate_Technical_Metadata___Column[[#This Row],[Type]])=TRUE, 0, 1)</f>
        <v>1</v>
      </c>
      <c r="U11" s="11">
        <f>IF(ISBLANK(Calculate_Technical_Metadata___Column[[#This Row],[Format]])=TRUE, 0, 1)</f>
        <v>1</v>
      </c>
      <c r="V11" s="11">
        <f>IF(ISBLANK(Calculate_Technical_Metadata___Column[[#This Row],[Nullable]])=TRUE, 0, 1)</f>
        <v>1</v>
      </c>
      <c r="W11" s="11">
        <f>IF(ISBLANK(Calculate_Technical_Metadata___Column[[#This Row],[Updated Date ]])=TRUE, 0, 1)</f>
        <v>1</v>
      </c>
      <c r="X11" s="11">
        <f>IF(ISBLANK(Calculate_Technical_Metadata___Column[[#This Row],[Updated By]])=TRUE, 0, 1)</f>
        <v>1</v>
      </c>
      <c r="Z11">
        <f>IF(COUNTIFS('Cal_Technical - Data Set'!A:A, Calculate_Technical_Metadata___Column[[#This Row],[Data Set Name]]) &gt; 0, 1,0)</f>
        <v>1</v>
      </c>
      <c r="AB11">
        <f>IF( COUNTIFS(C:C, Calculate_Technical_Metadata___Column[[#This Row],[Data Set Name]], D:D, Calculate_Technical_Metadata___Column[[#This Row],[Column Name]], A:A, Calculate_Technical_Metadata___Column[[#This Row],[System/Data Subject Area Name]], B:B, Calculate_Technical_Metadata___Column[[#This Row],[Schema/Database Name]]) &lt;&gt; 1, 0, 1)</f>
        <v>1</v>
      </c>
      <c r="AD11" s="11">
        <f>IF(ISERROR(FIND("  ",Calculate_Technical_Metadata___Column[[#This Row],[System/Data Subject Area Name]], 1))=TRUE, 1, 0)</f>
        <v>1</v>
      </c>
      <c r="AE11" s="11">
        <f>IF(ISERROR(FIND(" ",Calculate_Technical_Metadata___Column[[#This Row],[Schema/Database Name]], 1))=TRUE, 1, 0)</f>
        <v>1</v>
      </c>
      <c r="AF11" s="11">
        <f>IF(OR(ISERROR(FIND(" ",Calculate_Technical_Metadata___Column[[#This Row],[Data Set Name]], 1))=TRUE, ISERROR(FIND("__",Calculate_Technical_Metadata___Column[[#This Row],[Data Set Name]], 1))=TRUE)=TRUE, 1, 0)</f>
        <v>1</v>
      </c>
      <c r="AG11" s="11">
        <f>IF(ISERROR(FIND(" ",Calculate_Technical_Metadata___Column[[#This Row],[Column Name]], 1))=TRUE, 1, 0)</f>
        <v>1</v>
      </c>
      <c r="AH11" s="11">
        <f>IF(ISERROR(FIND("  ",Calculate_Technical_Metadata___Column[[#This Row],[Updated By]], 1))=TRUE, 1, 0)</f>
        <v>1</v>
      </c>
      <c r="AJ11">
        <f>IF(OR(Calculate_Technical_Metadata___Column[[#This Row],[Data Zone (MDZ/GDZ)]]="GDZ",Calculate_Technical_Metadata___Column[[#This Row],[Data Zone (MDZ/GDZ)]]= "MDZ",Calculate_Technical_Metadata___Column[[#This Row],[Data Zone (MDZ/GDZ)]]= "INVX Data Lake")=TRUE, 1, 0)</f>
        <v>1</v>
      </c>
      <c r="AK11" s="11">
        <f>IF(OR(Calculate_Technical_Metadata___Column[[#This Row],[PII/Non-PII]]="PII",Calculate_Technical_Metadata___Column[[#This Row],[PII/Non-PII]]= "Non-PII")=TRUE, 1, 0)</f>
        <v>1</v>
      </c>
      <c r="AL11" s="11" t="str">
        <f xml:space="preserve"> IF(ISERROR(FIND("(",Calculate_Technical_Metadata___Column[[#This Row],[Type]], 1)) = FALSE, _xlfn.TEXTBEFORE(Calculate_Technical_Metadata___Column[[#This Row],[Type]], "("),Calculate_Technical_Metadata___Column[[#This Row],[Type]])</f>
        <v>string</v>
      </c>
      <c r="AM11" s="11">
        <f>IF(COUNTIF(Type!A:A,Calculate_Technical_Metadata___Column[[#This Row],[Type]]) &gt; 0, 1, 0)</f>
        <v>1</v>
      </c>
      <c r="AN11" s="13">
        <f>IF(OR(Calculate_Technical_Metadata___Column[[#This Row],[Nullable]]="Yes",Calculate_Technical_Metadata___Column[[#This Row],[Nullable]]="No")=TRUE, 1, 0)</f>
        <v>1</v>
      </c>
    </row>
    <row r="12" spans="1:40" x14ac:dyDescent="0.3">
      <c r="A12" s="73" t="s">
        <v>38</v>
      </c>
      <c r="B12" s="73" t="s">
        <v>39</v>
      </c>
      <c r="C12" s="73" t="s">
        <v>40</v>
      </c>
      <c r="D12" s="73" t="s">
        <v>70</v>
      </c>
      <c r="E12" t="s">
        <v>42</v>
      </c>
      <c r="F12" s="73" t="s">
        <v>54</v>
      </c>
      <c r="G12" s="73" t="s">
        <v>45</v>
      </c>
      <c r="H12" s="73" t="s">
        <v>55</v>
      </c>
      <c r="I12" t="s">
        <v>47</v>
      </c>
      <c r="J12" s="73" t="s">
        <v>52</v>
      </c>
      <c r="K12" s="71">
        <v>45264</v>
      </c>
      <c r="L12" s="73" t="s">
        <v>57</v>
      </c>
      <c r="N12" s="11">
        <f>IF(ISBLANK(Calculate_Technical_Metadata___Column[[#This Row],[System/Data Subject Area Name]])=TRUE, 0, 1)</f>
        <v>1</v>
      </c>
      <c r="O12" s="11">
        <f>IF(ISBLANK(Calculate_Technical_Metadata___Column[[#This Row],[Schema/Database Name]])=TRUE, 0, 1)</f>
        <v>1</v>
      </c>
      <c r="P12" s="11">
        <f>IF(ISBLANK(Calculate_Technical_Metadata___Column[[#This Row],[Data Set Name]])=TRUE, 0, 1)</f>
        <v>1</v>
      </c>
      <c r="Q12" s="11">
        <f>IF(ISBLANK(Calculate_Technical_Metadata___Column[[#This Row],[Column Name]])=TRUE, 0, 1)</f>
        <v>1</v>
      </c>
      <c r="R12" s="11">
        <f>IF(ISBLANK(Calculate_Technical_Metadata___Column[[#This Row],[Data Zone (MDZ/GDZ)]])=TRUE, 0, 1)</f>
        <v>1</v>
      </c>
      <c r="S12" s="11">
        <f>IF(ISBLANK(Calculate_Technical_Metadata___Column[[#This Row],[PII/Non-PII]])=TRUE, 0, 1)</f>
        <v>1</v>
      </c>
      <c r="T12" s="11">
        <f>IF(ISBLANK(Calculate_Technical_Metadata___Column[[#This Row],[Type]])=TRUE, 0, 1)</f>
        <v>1</v>
      </c>
      <c r="U12" s="11">
        <f>IF(ISBLANK(Calculate_Technical_Metadata___Column[[#This Row],[Format]])=TRUE, 0, 1)</f>
        <v>1</v>
      </c>
      <c r="V12" s="11">
        <f>IF(ISBLANK(Calculate_Technical_Metadata___Column[[#This Row],[Nullable]])=TRUE, 0, 1)</f>
        <v>1</v>
      </c>
      <c r="W12" s="11">
        <f>IF(ISBLANK(Calculate_Technical_Metadata___Column[[#This Row],[Updated Date ]])=TRUE, 0, 1)</f>
        <v>1</v>
      </c>
      <c r="X12" s="11">
        <f>IF(ISBLANK(Calculate_Technical_Metadata___Column[[#This Row],[Updated By]])=TRUE, 0, 1)</f>
        <v>1</v>
      </c>
      <c r="Z12">
        <f>IF(COUNTIFS('Cal_Technical - Data Set'!A:A, Calculate_Technical_Metadata___Column[[#This Row],[Data Set Name]]) &gt; 0, 1,0)</f>
        <v>1</v>
      </c>
      <c r="AB12">
        <f>IF( COUNTIFS(C:C, Calculate_Technical_Metadata___Column[[#This Row],[Data Set Name]], D:D, Calculate_Technical_Metadata___Column[[#This Row],[Column Name]], A:A, Calculate_Technical_Metadata___Column[[#This Row],[System/Data Subject Area Name]], B:B, Calculate_Technical_Metadata___Column[[#This Row],[Schema/Database Name]]) &lt;&gt; 1, 0, 1)</f>
        <v>1</v>
      </c>
      <c r="AD12" s="11">
        <f>IF(ISERROR(FIND("  ",Calculate_Technical_Metadata___Column[[#This Row],[System/Data Subject Area Name]], 1))=TRUE, 1, 0)</f>
        <v>1</v>
      </c>
      <c r="AE12" s="11">
        <f>IF(ISERROR(FIND(" ",Calculate_Technical_Metadata___Column[[#This Row],[Schema/Database Name]], 1))=TRUE, 1, 0)</f>
        <v>1</v>
      </c>
      <c r="AF12" s="11">
        <f>IF(OR(ISERROR(FIND(" ",Calculate_Technical_Metadata___Column[[#This Row],[Data Set Name]], 1))=TRUE, ISERROR(FIND("__",Calculate_Technical_Metadata___Column[[#This Row],[Data Set Name]], 1))=TRUE)=TRUE, 1, 0)</f>
        <v>1</v>
      </c>
      <c r="AG12" s="11">
        <f>IF(ISERROR(FIND(" ",Calculate_Technical_Metadata___Column[[#This Row],[Column Name]], 1))=TRUE, 1, 0)</f>
        <v>1</v>
      </c>
      <c r="AH12" s="11">
        <f>IF(ISERROR(FIND("  ",Calculate_Technical_Metadata___Column[[#This Row],[Updated By]], 1))=TRUE, 1, 0)</f>
        <v>1</v>
      </c>
      <c r="AJ12">
        <f>IF(OR(Calculate_Technical_Metadata___Column[[#This Row],[Data Zone (MDZ/GDZ)]]="GDZ",Calculate_Technical_Metadata___Column[[#This Row],[Data Zone (MDZ/GDZ)]]= "MDZ",Calculate_Technical_Metadata___Column[[#This Row],[Data Zone (MDZ/GDZ)]]= "INVX Data Lake")=TRUE, 1, 0)</f>
        <v>1</v>
      </c>
      <c r="AK12" s="11">
        <f>IF(OR(Calculate_Technical_Metadata___Column[[#This Row],[PII/Non-PII]]="PII",Calculate_Technical_Metadata___Column[[#This Row],[PII/Non-PII]]= "Non-PII")=TRUE, 1, 0)</f>
        <v>1</v>
      </c>
      <c r="AL12" s="11" t="str">
        <f xml:space="preserve"> IF(ISERROR(FIND("(",Calculate_Technical_Metadata___Column[[#This Row],[Type]], 1)) = FALSE, _xlfn.TEXTBEFORE(Calculate_Technical_Metadata___Column[[#This Row],[Type]], "("),Calculate_Technical_Metadata___Column[[#This Row],[Type]])</f>
        <v>string</v>
      </c>
      <c r="AM12" s="11">
        <f>IF(COUNTIF(Type!A:A,Calculate_Technical_Metadata___Column[[#This Row],[Type]]) &gt; 0, 1, 0)</f>
        <v>1</v>
      </c>
      <c r="AN12" s="13">
        <f>IF(OR(Calculate_Technical_Metadata___Column[[#This Row],[Nullable]]="Yes",Calculate_Technical_Metadata___Column[[#This Row],[Nullable]]="No")=TRUE, 1, 0)</f>
        <v>1</v>
      </c>
    </row>
    <row r="13" spans="1:40" x14ac:dyDescent="0.3">
      <c r="A13" s="73" t="s">
        <v>38</v>
      </c>
      <c r="B13" s="73" t="s">
        <v>39</v>
      </c>
      <c r="C13" s="73" t="s">
        <v>40</v>
      </c>
      <c r="D13" s="73" t="s">
        <v>71</v>
      </c>
      <c r="E13" t="s">
        <v>42</v>
      </c>
      <c r="F13" s="73" t="s">
        <v>54</v>
      </c>
      <c r="G13" s="73" t="s">
        <v>45</v>
      </c>
      <c r="H13" s="73" t="s">
        <v>55</v>
      </c>
      <c r="I13" t="s">
        <v>47</v>
      </c>
      <c r="J13" s="73" t="s">
        <v>52</v>
      </c>
      <c r="K13" s="71">
        <v>45264</v>
      </c>
      <c r="L13" s="73" t="s">
        <v>57</v>
      </c>
      <c r="N13" s="11">
        <f>IF(ISBLANK(Calculate_Technical_Metadata___Column[[#This Row],[System/Data Subject Area Name]])=TRUE, 0, 1)</f>
        <v>1</v>
      </c>
      <c r="O13" s="11">
        <f>IF(ISBLANK(Calculate_Technical_Metadata___Column[[#This Row],[Schema/Database Name]])=TRUE, 0, 1)</f>
        <v>1</v>
      </c>
      <c r="P13" s="11">
        <f>IF(ISBLANK(Calculate_Technical_Metadata___Column[[#This Row],[Data Set Name]])=TRUE, 0, 1)</f>
        <v>1</v>
      </c>
      <c r="Q13" s="11">
        <f>IF(ISBLANK(Calculate_Technical_Metadata___Column[[#This Row],[Column Name]])=TRUE, 0, 1)</f>
        <v>1</v>
      </c>
      <c r="R13" s="11">
        <f>IF(ISBLANK(Calculate_Technical_Metadata___Column[[#This Row],[Data Zone (MDZ/GDZ)]])=TRUE, 0, 1)</f>
        <v>1</v>
      </c>
      <c r="S13" s="11">
        <f>IF(ISBLANK(Calculate_Technical_Metadata___Column[[#This Row],[PII/Non-PII]])=TRUE, 0, 1)</f>
        <v>1</v>
      </c>
      <c r="T13" s="11">
        <f>IF(ISBLANK(Calculate_Technical_Metadata___Column[[#This Row],[Type]])=TRUE, 0, 1)</f>
        <v>1</v>
      </c>
      <c r="U13" s="11">
        <f>IF(ISBLANK(Calculate_Technical_Metadata___Column[[#This Row],[Format]])=TRUE, 0, 1)</f>
        <v>1</v>
      </c>
      <c r="V13" s="11">
        <f>IF(ISBLANK(Calculate_Technical_Metadata___Column[[#This Row],[Nullable]])=TRUE, 0, 1)</f>
        <v>1</v>
      </c>
      <c r="W13" s="11">
        <f>IF(ISBLANK(Calculate_Technical_Metadata___Column[[#This Row],[Updated Date ]])=TRUE, 0, 1)</f>
        <v>1</v>
      </c>
      <c r="X13" s="11">
        <f>IF(ISBLANK(Calculate_Technical_Metadata___Column[[#This Row],[Updated By]])=TRUE, 0, 1)</f>
        <v>1</v>
      </c>
      <c r="Z13">
        <f>IF(COUNTIFS('Cal_Technical - Data Set'!A:A, Calculate_Technical_Metadata___Column[[#This Row],[Data Set Name]]) &gt; 0, 1,0)</f>
        <v>1</v>
      </c>
      <c r="AB13">
        <f>IF( COUNTIFS(C:C, Calculate_Technical_Metadata___Column[[#This Row],[Data Set Name]], D:D, Calculate_Technical_Metadata___Column[[#This Row],[Column Name]], A:A, Calculate_Technical_Metadata___Column[[#This Row],[System/Data Subject Area Name]], B:B, Calculate_Technical_Metadata___Column[[#This Row],[Schema/Database Name]]) &lt;&gt; 1, 0, 1)</f>
        <v>1</v>
      </c>
      <c r="AD13" s="11">
        <f>IF(ISERROR(FIND("  ",Calculate_Technical_Metadata___Column[[#This Row],[System/Data Subject Area Name]], 1))=TRUE, 1, 0)</f>
        <v>1</v>
      </c>
      <c r="AE13" s="11">
        <f>IF(ISERROR(FIND(" ",Calculate_Technical_Metadata___Column[[#This Row],[Schema/Database Name]], 1))=TRUE, 1, 0)</f>
        <v>1</v>
      </c>
      <c r="AF13" s="11">
        <f>IF(OR(ISERROR(FIND(" ",Calculate_Technical_Metadata___Column[[#This Row],[Data Set Name]], 1))=TRUE, ISERROR(FIND("__",Calculate_Technical_Metadata___Column[[#This Row],[Data Set Name]], 1))=TRUE)=TRUE, 1, 0)</f>
        <v>1</v>
      </c>
      <c r="AG13" s="11">
        <f>IF(ISERROR(FIND(" ",Calculate_Technical_Metadata___Column[[#This Row],[Column Name]], 1))=TRUE, 1, 0)</f>
        <v>1</v>
      </c>
      <c r="AH13" s="11">
        <f>IF(ISERROR(FIND("  ",Calculate_Technical_Metadata___Column[[#This Row],[Updated By]], 1))=TRUE, 1, 0)</f>
        <v>1</v>
      </c>
      <c r="AJ13">
        <f>IF(OR(Calculate_Technical_Metadata___Column[[#This Row],[Data Zone (MDZ/GDZ)]]="GDZ",Calculate_Technical_Metadata___Column[[#This Row],[Data Zone (MDZ/GDZ)]]= "MDZ",Calculate_Technical_Metadata___Column[[#This Row],[Data Zone (MDZ/GDZ)]]= "INVX Data Lake")=TRUE, 1, 0)</f>
        <v>1</v>
      </c>
      <c r="AK13" s="11">
        <f>IF(OR(Calculate_Technical_Metadata___Column[[#This Row],[PII/Non-PII]]="PII",Calculate_Technical_Metadata___Column[[#This Row],[PII/Non-PII]]= "Non-PII")=TRUE, 1, 0)</f>
        <v>1</v>
      </c>
      <c r="AL13" s="11" t="str">
        <f xml:space="preserve"> IF(ISERROR(FIND("(",Calculate_Technical_Metadata___Column[[#This Row],[Type]], 1)) = FALSE, _xlfn.TEXTBEFORE(Calculate_Technical_Metadata___Column[[#This Row],[Type]], "("),Calculate_Technical_Metadata___Column[[#This Row],[Type]])</f>
        <v>string</v>
      </c>
      <c r="AM13" s="11">
        <f>IF(COUNTIF(Type!A:A,Calculate_Technical_Metadata___Column[[#This Row],[Type]]) &gt; 0, 1, 0)</f>
        <v>1</v>
      </c>
      <c r="AN13" s="13">
        <f>IF(OR(Calculate_Technical_Metadata___Column[[#This Row],[Nullable]]="Yes",Calculate_Technical_Metadata___Column[[#This Row],[Nullable]]="No")=TRUE, 1, 0)</f>
        <v>1</v>
      </c>
    </row>
    <row r="14" spans="1:40" x14ac:dyDescent="0.3">
      <c r="A14" s="73" t="s">
        <v>38</v>
      </c>
      <c r="B14" s="73" t="s">
        <v>39</v>
      </c>
      <c r="C14" s="73" t="s">
        <v>40</v>
      </c>
      <c r="D14" s="73" t="s">
        <v>72</v>
      </c>
      <c r="E14" t="s">
        <v>42</v>
      </c>
      <c r="F14" s="73" t="s">
        <v>54</v>
      </c>
      <c r="G14" s="73" t="s">
        <v>45</v>
      </c>
      <c r="H14" s="73" t="s">
        <v>55</v>
      </c>
      <c r="I14" t="s">
        <v>47</v>
      </c>
      <c r="J14" s="73" t="s">
        <v>52</v>
      </c>
      <c r="K14" s="71">
        <v>45264</v>
      </c>
      <c r="L14" s="73" t="s">
        <v>57</v>
      </c>
      <c r="N14" s="11">
        <f>IF(ISBLANK(Calculate_Technical_Metadata___Column[[#This Row],[System/Data Subject Area Name]])=TRUE, 0, 1)</f>
        <v>1</v>
      </c>
      <c r="O14" s="11">
        <f>IF(ISBLANK(Calculate_Technical_Metadata___Column[[#This Row],[Schema/Database Name]])=TRUE, 0, 1)</f>
        <v>1</v>
      </c>
      <c r="P14" s="11">
        <f>IF(ISBLANK(Calculate_Technical_Metadata___Column[[#This Row],[Data Set Name]])=TRUE, 0, 1)</f>
        <v>1</v>
      </c>
      <c r="Q14" s="11">
        <f>IF(ISBLANK(Calculate_Technical_Metadata___Column[[#This Row],[Column Name]])=TRUE, 0, 1)</f>
        <v>1</v>
      </c>
      <c r="R14" s="11">
        <f>IF(ISBLANK(Calculate_Technical_Metadata___Column[[#This Row],[Data Zone (MDZ/GDZ)]])=TRUE, 0, 1)</f>
        <v>1</v>
      </c>
      <c r="S14" s="11">
        <f>IF(ISBLANK(Calculate_Technical_Metadata___Column[[#This Row],[PII/Non-PII]])=TRUE, 0, 1)</f>
        <v>1</v>
      </c>
      <c r="T14" s="11">
        <f>IF(ISBLANK(Calculate_Technical_Metadata___Column[[#This Row],[Type]])=TRUE, 0, 1)</f>
        <v>1</v>
      </c>
      <c r="U14" s="11">
        <f>IF(ISBLANK(Calculate_Technical_Metadata___Column[[#This Row],[Format]])=TRUE, 0, 1)</f>
        <v>1</v>
      </c>
      <c r="V14" s="11">
        <f>IF(ISBLANK(Calculate_Technical_Metadata___Column[[#This Row],[Nullable]])=TRUE, 0, 1)</f>
        <v>1</v>
      </c>
      <c r="W14" s="11">
        <f>IF(ISBLANK(Calculate_Technical_Metadata___Column[[#This Row],[Updated Date ]])=TRUE, 0, 1)</f>
        <v>1</v>
      </c>
      <c r="X14" s="11">
        <f>IF(ISBLANK(Calculate_Technical_Metadata___Column[[#This Row],[Updated By]])=TRUE, 0, 1)</f>
        <v>1</v>
      </c>
      <c r="Z14">
        <f>IF(COUNTIFS('Cal_Technical - Data Set'!A:A, Calculate_Technical_Metadata___Column[[#This Row],[Data Set Name]]) &gt; 0, 1,0)</f>
        <v>1</v>
      </c>
      <c r="AB14">
        <f>IF( COUNTIFS(C:C, Calculate_Technical_Metadata___Column[[#This Row],[Data Set Name]], D:D, Calculate_Technical_Metadata___Column[[#This Row],[Column Name]], A:A, Calculate_Technical_Metadata___Column[[#This Row],[System/Data Subject Area Name]], B:B, Calculate_Technical_Metadata___Column[[#This Row],[Schema/Database Name]]) &lt;&gt; 1, 0, 1)</f>
        <v>1</v>
      </c>
      <c r="AD14" s="11">
        <f>IF(ISERROR(FIND("  ",Calculate_Technical_Metadata___Column[[#This Row],[System/Data Subject Area Name]], 1))=TRUE, 1, 0)</f>
        <v>1</v>
      </c>
      <c r="AE14" s="11">
        <f>IF(ISERROR(FIND(" ",Calculate_Technical_Metadata___Column[[#This Row],[Schema/Database Name]], 1))=TRUE, 1, 0)</f>
        <v>1</v>
      </c>
      <c r="AF14" s="11">
        <f>IF(OR(ISERROR(FIND(" ",Calculate_Technical_Metadata___Column[[#This Row],[Data Set Name]], 1))=TRUE, ISERROR(FIND("__",Calculate_Technical_Metadata___Column[[#This Row],[Data Set Name]], 1))=TRUE)=TRUE, 1, 0)</f>
        <v>1</v>
      </c>
      <c r="AG14" s="11">
        <f>IF(ISERROR(FIND(" ",Calculate_Technical_Metadata___Column[[#This Row],[Column Name]], 1))=TRUE, 1, 0)</f>
        <v>1</v>
      </c>
      <c r="AH14" s="11">
        <f>IF(ISERROR(FIND("  ",Calculate_Technical_Metadata___Column[[#This Row],[Updated By]], 1))=TRUE, 1, 0)</f>
        <v>1</v>
      </c>
      <c r="AJ14">
        <f>IF(OR(Calculate_Technical_Metadata___Column[[#This Row],[Data Zone (MDZ/GDZ)]]="GDZ",Calculate_Technical_Metadata___Column[[#This Row],[Data Zone (MDZ/GDZ)]]= "MDZ",Calculate_Technical_Metadata___Column[[#This Row],[Data Zone (MDZ/GDZ)]]= "INVX Data Lake")=TRUE, 1, 0)</f>
        <v>1</v>
      </c>
      <c r="AK14" s="11">
        <f>IF(OR(Calculate_Technical_Metadata___Column[[#This Row],[PII/Non-PII]]="PII",Calculate_Technical_Metadata___Column[[#This Row],[PII/Non-PII]]= "Non-PII")=TRUE, 1, 0)</f>
        <v>1</v>
      </c>
      <c r="AL14" s="11" t="str">
        <f xml:space="preserve"> IF(ISERROR(FIND("(",Calculate_Technical_Metadata___Column[[#This Row],[Type]], 1)) = FALSE, _xlfn.TEXTBEFORE(Calculate_Technical_Metadata___Column[[#This Row],[Type]], "("),Calculate_Technical_Metadata___Column[[#This Row],[Type]])</f>
        <v>string</v>
      </c>
      <c r="AM14" s="11">
        <f>IF(COUNTIF(Type!A:A,Calculate_Technical_Metadata___Column[[#This Row],[Type]]) &gt; 0, 1, 0)</f>
        <v>1</v>
      </c>
      <c r="AN14" s="13">
        <f>IF(OR(Calculate_Technical_Metadata___Column[[#This Row],[Nullable]]="Yes",Calculate_Technical_Metadata___Column[[#This Row],[Nullable]]="No")=TRUE, 1, 0)</f>
        <v>1</v>
      </c>
    </row>
    <row r="15" spans="1:40" x14ac:dyDescent="0.3">
      <c r="A15" s="73" t="s">
        <v>38</v>
      </c>
      <c r="B15" s="73" t="s">
        <v>39</v>
      </c>
      <c r="C15" s="73" t="s">
        <v>40</v>
      </c>
      <c r="D15" s="73" t="s">
        <v>73</v>
      </c>
      <c r="E15" t="s">
        <v>42</v>
      </c>
      <c r="F15" s="73" t="s">
        <v>54</v>
      </c>
      <c r="G15" s="73" t="s">
        <v>45</v>
      </c>
      <c r="H15" s="73" t="s">
        <v>55</v>
      </c>
      <c r="I15" t="s">
        <v>47</v>
      </c>
      <c r="J15" s="73" t="s">
        <v>52</v>
      </c>
      <c r="K15" s="71">
        <v>45264</v>
      </c>
      <c r="L15" s="73" t="s">
        <v>57</v>
      </c>
      <c r="N15" s="11">
        <f>IF(ISBLANK(Calculate_Technical_Metadata___Column[[#This Row],[System/Data Subject Area Name]])=TRUE, 0, 1)</f>
        <v>1</v>
      </c>
      <c r="O15" s="11">
        <f>IF(ISBLANK(Calculate_Technical_Metadata___Column[[#This Row],[Schema/Database Name]])=TRUE, 0, 1)</f>
        <v>1</v>
      </c>
      <c r="P15" s="11">
        <f>IF(ISBLANK(Calculate_Technical_Metadata___Column[[#This Row],[Data Set Name]])=TRUE, 0, 1)</f>
        <v>1</v>
      </c>
      <c r="Q15" s="11">
        <f>IF(ISBLANK(Calculate_Technical_Metadata___Column[[#This Row],[Column Name]])=TRUE, 0, 1)</f>
        <v>1</v>
      </c>
      <c r="R15" s="11">
        <f>IF(ISBLANK(Calculate_Technical_Metadata___Column[[#This Row],[Data Zone (MDZ/GDZ)]])=TRUE, 0, 1)</f>
        <v>1</v>
      </c>
      <c r="S15" s="11">
        <f>IF(ISBLANK(Calculate_Technical_Metadata___Column[[#This Row],[PII/Non-PII]])=TRUE, 0, 1)</f>
        <v>1</v>
      </c>
      <c r="T15" s="11">
        <f>IF(ISBLANK(Calculate_Technical_Metadata___Column[[#This Row],[Type]])=TRUE, 0, 1)</f>
        <v>1</v>
      </c>
      <c r="U15" s="11">
        <f>IF(ISBLANK(Calculate_Technical_Metadata___Column[[#This Row],[Format]])=TRUE, 0, 1)</f>
        <v>1</v>
      </c>
      <c r="V15" s="11">
        <f>IF(ISBLANK(Calculate_Technical_Metadata___Column[[#This Row],[Nullable]])=TRUE, 0, 1)</f>
        <v>1</v>
      </c>
      <c r="W15" s="11">
        <f>IF(ISBLANK(Calculate_Technical_Metadata___Column[[#This Row],[Updated Date ]])=TRUE, 0, 1)</f>
        <v>1</v>
      </c>
      <c r="X15" s="11">
        <f>IF(ISBLANK(Calculate_Technical_Metadata___Column[[#This Row],[Updated By]])=TRUE, 0, 1)</f>
        <v>1</v>
      </c>
      <c r="Z15">
        <f>IF(COUNTIFS('Cal_Technical - Data Set'!A:A, Calculate_Technical_Metadata___Column[[#This Row],[Data Set Name]]) &gt; 0, 1,0)</f>
        <v>1</v>
      </c>
      <c r="AB15">
        <f>IF( COUNTIFS(C:C, Calculate_Technical_Metadata___Column[[#This Row],[Data Set Name]], D:D, Calculate_Technical_Metadata___Column[[#This Row],[Column Name]], A:A, Calculate_Technical_Metadata___Column[[#This Row],[System/Data Subject Area Name]], B:B, Calculate_Technical_Metadata___Column[[#This Row],[Schema/Database Name]]) &lt;&gt; 1, 0, 1)</f>
        <v>1</v>
      </c>
      <c r="AD15" s="11">
        <f>IF(ISERROR(FIND("  ",Calculate_Technical_Metadata___Column[[#This Row],[System/Data Subject Area Name]], 1))=TRUE, 1, 0)</f>
        <v>1</v>
      </c>
      <c r="AE15" s="11">
        <f>IF(ISERROR(FIND(" ",Calculate_Technical_Metadata___Column[[#This Row],[Schema/Database Name]], 1))=TRUE, 1, 0)</f>
        <v>1</v>
      </c>
      <c r="AF15" s="11">
        <f>IF(OR(ISERROR(FIND(" ",Calculate_Technical_Metadata___Column[[#This Row],[Data Set Name]], 1))=TRUE, ISERROR(FIND("__",Calculate_Technical_Metadata___Column[[#This Row],[Data Set Name]], 1))=TRUE)=TRUE, 1, 0)</f>
        <v>1</v>
      </c>
      <c r="AG15" s="11">
        <f>IF(ISERROR(FIND(" ",Calculate_Technical_Metadata___Column[[#This Row],[Column Name]], 1))=TRUE, 1, 0)</f>
        <v>1</v>
      </c>
      <c r="AH15" s="11">
        <f>IF(ISERROR(FIND("  ",Calculate_Technical_Metadata___Column[[#This Row],[Updated By]], 1))=TRUE, 1, 0)</f>
        <v>1</v>
      </c>
      <c r="AJ15">
        <f>IF(OR(Calculate_Technical_Metadata___Column[[#This Row],[Data Zone (MDZ/GDZ)]]="GDZ",Calculate_Technical_Metadata___Column[[#This Row],[Data Zone (MDZ/GDZ)]]= "MDZ",Calculate_Technical_Metadata___Column[[#This Row],[Data Zone (MDZ/GDZ)]]= "INVX Data Lake")=TRUE, 1, 0)</f>
        <v>1</v>
      </c>
      <c r="AK15" s="11">
        <f>IF(OR(Calculate_Technical_Metadata___Column[[#This Row],[PII/Non-PII]]="PII",Calculate_Technical_Metadata___Column[[#This Row],[PII/Non-PII]]= "Non-PII")=TRUE, 1, 0)</f>
        <v>1</v>
      </c>
      <c r="AL15" s="11" t="str">
        <f xml:space="preserve"> IF(ISERROR(FIND("(",Calculate_Technical_Metadata___Column[[#This Row],[Type]], 1)) = FALSE, _xlfn.TEXTBEFORE(Calculate_Technical_Metadata___Column[[#This Row],[Type]], "("),Calculate_Technical_Metadata___Column[[#This Row],[Type]])</f>
        <v>string</v>
      </c>
      <c r="AM15" s="11">
        <f>IF(COUNTIF(Type!A:A,Calculate_Technical_Metadata___Column[[#This Row],[Type]]) &gt; 0, 1, 0)</f>
        <v>1</v>
      </c>
      <c r="AN15" s="13">
        <f>IF(OR(Calculate_Technical_Metadata___Column[[#This Row],[Nullable]]="Yes",Calculate_Technical_Metadata___Column[[#This Row],[Nullable]]="No")=TRUE, 1, 0)</f>
        <v>1</v>
      </c>
    </row>
    <row r="16" spans="1:40" x14ac:dyDescent="0.3">
      <c r="A16" s="73" t="s">
        <v>38</v>
      </c>
      <c r="B16" s="73" t="s">
        <v>39</v>
      </c>
      <c r="C16" s="73" t="s">
        <v>40</v>
      </c>
      <c r="D16" s="73" t="s">
        <v>74</v>
      </c>
      <c r="E16" t="s">
        <v>42</v>
      </c>
      <c r="F16" s="73" t="s">
        <v>43</v>
      </c>
      <c r="G16" s="73" t="s">
        <v>45</v>
      </c>
      <c r="H16" s="73" t="s">
        <v>46</v>
      </c>
      <c r="I16" t="s">
        <v>47</v>
      </c>
      <c r="J16" s="73" t="s">
        <v>48</v>
      </c>
      <c r="K16" s="71">
        <v>45264</v>
      </c>
      <c r="L16" s="73" t="s">
        <v>57</v>
      </c>
      <c r="N16" s="11">
        <f>IF(ISBLANK(Calculate_Technical_Metadata___Column[[#This Row],[System/Data Subject Area Name]])=TRUE, 0, 1)</f>
        <v>1</v>
      </c>
      <c r="O16" s="11">
        <f>IF(ISBLANK(Calculate_Technical_Metadata___Column[[#This Row],[Schema/Database Name]])=TRUE, 0, 1)</f>
        <v>1</v>
      </c>
      <c r="P16" s="11">
        <f>IF(ISBLANK(Calculate_Technical_Metadata___Column[[#This Row],[Data Set Name]])=TRUE, 0, 1)</f>
        <v>1</v>
      </c>
      <c r="Q16" s="11">
        <f>IF(ISBLANK(Calculate_Technical_Metadata___Column[[#This Row],[Column Name]])=TRUE, 0, 1)</f>
        <v>1</v>
      </c>
      <c r="R16" s="11">
        <f>IF(ISBLANK(Calculate_Technical_Metadata___Column[[#This Row],[Data Zone (MDZ/GDZ)]])=TRUE, 0, 1)</f>
        <v>1</v>
      </c>
      <c r="S16" s="11">
        <f>IF(ISBLANK(Calculate_Technical_Metadata___Column[[#This Row],[PII/Non-PII]])=TRUE, 0, 1)</f>
        <v>1</v>
      </c>
      <c r="T16" s="11">
        <f>IF(ISBLANK(Calculate_Technical_Metadata___Column[[#This Row],[Type]])=TRUE, 0, 1)</f>
        <v>1</v>
      </c>
      <c r="U16" s="11">
        <f>IF(ISBLANK(Calculate_Technical_Metadata___Column[[#This Row],[Format]])=TRUE, 0, 1)</f>
        <v>1</v>
      </c>
      <c r="V16" s="11">
        <f>IF(ISBLANK(Calculate_Technical_Metadata___Column[[#This Row],[Nullable]])=TRUE, 0, 1)</f>
        <v>1</v>
      </c>
      <c r="W16" s="11">
        <f>IF(ISBLANK(Calculate_Technical_Metadata___Column[[#This Row],[Updated Date ]])=TRUE, 0, 1)</f>
        <v>1</v>
      </c>
      <c r="X16" s="11">
        <f>IF(ISBLANK(Calculate_Technical_Metadata___Column[[#This Row],[Updated By]])=TRUE, 0, 1)</f>
        <v>1</v>
      </c>
      <c r="Z16">
        <f>IF(COUNTIFS('Cal_Technical - Data Set'!A:A, Calculate_Technical_Metadata___Column[[#This Row],[Data Set Name]]) &gt; 0, 1,0)</f>
        <v>1</v>
      </c>
      <c r="AB16">
        <f>IF( COUNTIFS(C:C, Calculate_Technical_Metadata___Column[[#This Row],[Data Set Name]], D:D, Calculate_Technical_Metadata___Column[[#This Row],[Column Name]], A:A, Calculate_Technical_Metadata___Column[[#This Row],[System/Data Subject Area Name]], B:B, Calculate_Technical_Metadata___Column[[#This Row],[Schema/Database Name]]) &lt;&gt; 1, 0, 1)</f>
        <v>1</v>
      </c>
      <c r="AD16" s="11">
        <f>IF(ISERROR(FIND("  ",Calculate_Technical_Metadata___Column[[#This Row],[System/Data Subject Area Name]], 1))=TRUE, 1, 0)</f>
        <v>1</v>
      </c>
      <c r="AE16" s="11">
        <f>IF(ISERROR(FIND(" ",Calculate_Technical_Metadata___Column[[#This Row],[Schema/Database Name]], 1))=TRUE, 1, 0)</f>
        <v>1</v>
      </c>
      <c r="AF16" s="11">
        <f>IF(OR(ISERROR(FIND(" ",Calculate_Technical_Metadata___Column[[#This Row],[Data Set Name]], 1))=TRUE, ISERROR(FIND("__",Calculate_Technical_Metadata___Column[[#This Row],[Data Set Name]], 1))=TRUE)=TRUE, 1, 0)</f>
        <v>1</v>
      </c>
      <c r="AG16" s="11">
        <f>IF(ISERROR(FIND(" ",Calculate_Technical_Metadata___Column[[#This Row],[Column Name]], 1))=TRUE, 1, 0)</f>
        <v>1</v>
      </c>
      <c r="AH16" s="11">
        <f>IF(ISERROR(FIND("  ",Calculate_Technical_Metadata___Column[[#This Row],[Updated By]], 1))=TRUE, 1, 0)</f>
        <v>1</v>
      </c>
      <c r="AJ16">
        <f>IF(OR(Calculate_Technical_Metadata___Column[[#This Row],[Data Zone (MDZ/GDZ)]]="GDZ",Calculate_Technical_Metadata___Column[[#This Row],[Data Zone (MDZ/GDZ)]]= "MDZ",Calculate_Technical_Metadata___Column[[#This Row],[Data Zone (MDZ/GDZ)]]= "INVX Data Lake")=TRUE, 1, 0)</f>
        <v>1</v>
      </c>
      <c r="AK16" s="11">
        <f>IF(OR(Calculate_Technical_Metadata___Column[[#This Row],[PII/Non-PII]]="PII",Calculate_Technical_Metadata___Column[[#This Row],[PII/Non-PII]]= "Non-PII")=TRUE, 1, 0)</f>
        <v>1</v>
      </c>
      <c r="AL16" s="11" t="str">
        <f xml:space="preserve"> IF(ISERROR(FIND("(",Calculate_Technical_Metadata___Column[[#This Row],[Type]], 1)) = FALSE, _xlfn.TEXTBEFORE(Calculate_Technical_Metadata___Column[[#This Row],[Type]], "("),Calculate_Technical_Metadata___Column[[#This Row],[Type]])</f>
        <v>string</v>
      </c>
      <c r="AM16" s="11">
        <f>IF(COUNTIF(Type!A:A,Calculate_Technical_Metadata___Column[[#This Row],[Type]]) &gt; 0, 1, 0)</f>
        <v>1</v>
      </c>
      <c r="AN16" s="13">
        <f>IF(OR(Calculate_Technical_Metadata___Column[[#This Row],[Nullable]]="Yes",Calculate_Technical_Metadata___Column[[#This Row],[Nullable]]="No")=TRUE, 1, 0)</f>
        <v>1</v>
      </c>
    </row>
    <row r="17" spans="1:40" x14ac:dyDescent="0.3">
      <c r="A17" s="73" t="s">
        <v>38</v>
      </c>
      <c r="B17" s="73" t="s">
        <v>39</v>
      </c>
      <c r="C17" s="73" t="s">
        <v>40</v>
      </c>
      <c r="D17" s="73" t="s">
        <v>75</v>
      </c>
      <c r="E17" t="s">
        <v>42</v>
      </c>
      <c r="F17" s="73" t="s">
        <v>43</v>
      </c>
      <c r="G17" s="73" t="s">
        <v>76</v>
      </c>
      <c r="H17" s="73" t="s">
        <v>77</v>
      </c>
      <c r="I17" t="s">
        <v>78</v>
      </c>
      <c r="J17" s="73" t="s">
        <v>52</v>
      </c>
      <c r="K17" s="71">
        <v>45264</v>
      </c>
      <c r="L17" s="73" t="s">
        <v>57</v>
      </c>
      <c r="N17" s="11">
        <f>IF(ISBLANK(Calculate_Technical_Metadata___Column[[#This Row],[System/Data Subject Area Name]])=TRUE, 0, 1)</f>
        <v>1</v>
      </c>
      <c r="O17" s="11">
        <f>IF(ISBLANK(Calculate_Technical_Metadata___Column[[#This Row],[Schema/Database Name]])=TRUE, 0, 1)</f>
        <v>1</v>
      </c>
      <c r="P17" s="11">
        <f>IF(ISBLANK(Calculate_Technical_Metadata___Column[[#This Row],[Data Set Name]])=TRUE, 0, 1)</f>
        <v>1</v>
      </c>
      <c r="Q17" s="11">
        <f>IF(ISBLANK(Calculate_Technical_Metadata___Column[[#This Row],[Column Name]])=TRUE, 0, 1)</f>
        <v>1</v>
      </c>
      <c r="R17" s="11">
        <f>IF(ISBLANK(Calculate_Technical_Metadata___Column[[#This Row],[Data Zone (MDZ/GDZ)]])=TRUE, 0, 1)</f>
        <v>1</v>
      </c>
      <c r="S17" s="11">
        <f>IF(ISBLANK(Calculate_Technical_Metadata___Column[[#This Row],[PII/Non-PII]])=TRUE, 0, 1)</f>
        <v>1</v>
      </c>
      <c r="T17" s="11">
        <f>IF(ISBLANK(Calculate_Technical_Metadata___Column[[#This Row],[Type]])=TRUE, 0, 1)</f>
        <v>1</v>
      </c>
      <c r="U17" s="11">
        <f>IF(ISBLANK(Calculate_Technical_Metadata___Column[[#This Row],[Format]])=TRUE, 0, 1)</f>
        <v>1</v>
      </c>
      <c r="V17" s="11">
        <f>IF(ISBLANK(Calculate_Technical_Metadata___Column[[#This Row],[Nullable]])=TRUE, 0, 1)</f>
        <v>1</v>
      </c>
      <c r="W17" s="11">
        <f>IF(ISBLANK(Calculate_Technical_Metadata___Column[[#This Row],[Updated Date ]])=TRUE, 0, 1)</f>
        <v>1</v>
      </c>
      <c r="X17" s="11">
        <f>IF(ISBLANK(Calculate_Technical_Metadata___Column[[#This Row],[Updated By]])=TRUE, 0, 1)</f>
        <v>1</v>
      </c>
      <c r="Z17">
        <f>IF(COUNTIFS('Cal_Technical - Data Set'!A:A, Calculate_Technical_Metadata___Column[[#This Row],[Data Set Name]]) &gt; 0, 1,0)</f>
        <v>1</v>
      </c>
      <c r="AB17">
        <f>IF( COUNTIFS(C:C, Calculate_Technical_Metadata___Column[[#This Row],[Data Set Name]], D:D, Calculate_Technical_Metadata___Column[[#This Row],[Column Name]], A:A, Calculate_Technical_Metadata___Column[[#This Row],[System/Data Subject Area Name]], B:B, Calculate_Technical_Metadata___Column[[#This Row],[Schema/Database Name]]) &lt;&gt; 1, 0, 1)</f>
        <v>1</v>
      </c>
      <c r="AD17" s="11">
        <f>IF(ISERROR(FIND("  ",Calculate_Technical_Metadata___Column[[#This Row],[System/Data Subject Area Name]], 1))=TRUE, 1, 0)</f>
        <v>1</v>
      </c>
      <c r="AE17" s="11">
        <f>IF(ISERROR(FIND(" ",Calculate_Technical_Metadata___Column[[#This Row],[Schema/Database Name]], 1))=TRUE, 1, 0)</f>
        <v>1</v>
      </c>
      <c r="AF17" s="11">
        <f>IF(OR(ISERROR(FIND(" ",Calculate_Technical_Metadata___Column[[#This Row],[Data Set Name]], 1))=TRUE, ISERROR(FIND("__",Calculate_Technical_Metadata___Column[[#This Row],[Data Set Name]], 1))=TRUE)=TRUE, 1, 0)</f>
        <v>1</v>
      </c>
      <c r="AG17" s="11">
        <f>IF(ISERROR(FIND(" ",Calculate_Technical_Metadata___Column[[#This Row],[Column Name]], 1))=TRUE, 1, 0)</f>
        <v>1</v>
      </c>
      <c r="AH17" s="11">
        <f>IF(ISERROR(FIND("  ",Calculate_Technical_Metadata___Column[[#This Row],[Updated By]], 1))=TRUE, 1, 0)</f>
        <v>1</v>
      </c>
      <c r="AJ17">
        <f>IF(OR(Calculate_Technical_Metadata___Column[[#This Row],[Data Zone (MDZ/GDZ)]]="GDZ",Calculate_Technical_Metadata___Column[[#This Row],[Data Zone (MDZ/GDZ)]]= "MDZ",Calculate_Technical_Metadata___Column[[#This Row],[Data Zone (MDZ/GDZ)]]= "INVX Data Lake")=TRUE, 1, 0)</f>
        <v>1</v>
      </c>
      <c r="AK17" s="11">
        <f>IF(OR(Calculate_Technical_Metadata___Column[[#This Row],[PII/Non-PII]]="PII",Calculate_Technical_Metadata___Column[[#This Row],[PII/Non-PII]]= "Non-PII")=TRUE, 1, 0)</f>
        <v>1</v>
      </c>
      <c r="AL17" s="11" t="str">
        <f xml:space="preserve"> IF(ISERROR(FIND("(",Calculate_Technical_Metadata___Column[[#This Row],[Type]], 1)) = FALSE, _xlfn.TEXTBEFORE(Calculate_Technical_Metadata___Column[[#This Row],[Type]], "("),Calculate_Technical_Metadata___Column[[#This Row],[Type]])</f>
        <v>integer</v>
      </c>
      <c r="AM17" s="11">
        <f>IF(COUNTIF(Type!A:A,Calculate_Technical_Metadata___Column[[#This Row],[Type]]) &gt; 0, 1, 0)</f>
        <v>1</v>
      </c>
      <c r="AN17" s="13">
        <f>IF(OR(Calculate_Technical_Metadata___Column[[#This Row],[Nullable]]="Yes",Calculate_Technical_Metadata___Column[[#This Row],[Nullable]]="No")=TRUE, 1, 0)</f>
        <v>1</v>
      </c>
    </row>
    <row r="18" spans="1:40" x14ac:dyDescent="0.3">
      <c r="A18" s="73" t="s">
        <v>38</v>
      </c>
      <c r="B18" s="73" t="s">
        <v>39</v>
      </c>
      <c r="C18" s="73" t="s">
        <v>40</v>
      </c>
      <c r="D18" s="73" t="s">
        <v>79</v>
      </c>
      <c r="E18" t="s">
        <v>42</v>
      </c>
      <c r="F18" s="73" t="s">
        <v>43</v>
      </c>
      <c r="G18" s="73" t="s">
        <v>45</v>
      </c>
      <c r="H18" s="73" t="s">
        <v>46</v>
      </c>
      <c r="I18" t="s">
        <v>47</v>
      </c>
      <c r="J18" s="73" t="s">
        <v>52</v>
      </c>
      <c r="K18" s="71">
        <v>45264</v>
      </c>
      <c r="L18" s="73" t="s">
        <v>57</v>
      </c>
      <c r="N18" s="11">
        <f>IF(ISBLANK(Calculate_Technical_Metadata___Column[[#This Row],[System/Data Subject Area Name]])=TRUE, 0, 1)</f>
        <v>1</v>
      </c>
      <c r="O18" s="11">
        <f>IF(ISBLANK(Calculate_Technical_Metadata___Column[[#This Row],[Schema/Database Name]])=TRUE, 0, 1)</f>
        <v>1</v>
      </c>
      <c r="P18" s="11">
        <f>IF(ISBLANK(Calculate_Technical_Metadata___Column[[#This Row],[Data Set Name]])=TRUE, 0, 1)</f>
        <v>1</v>
      </c>
      <c r="Q18" s="11">
        <f>IF(ISBLANK(Calculate_Technical_Metadata___Column[[#This Row],[Column Name]])=TRUE, 0, 1)</f>
        <v>1</v>
      </c>
      <c r="R18" s="11">
        <f>IF(ISBLANK(Calculate_Technical_Metadata___Column[[#This Row],[Data Zone (MDZ/GDZ)]])=TRUE, 0, 1)</f>
        <v>1</v>
      </c>
      <c r="S18" s="11">
        <f>IF(ISBLANK(Calculate_Technical_Metadata___Column[[#This Row],[PII/Non-PII]])=TRUE, 0, 1)</f>
        <v>1</v>
      </c>
      <c r="T18" s="11">
        <f>IF(ISBLANK(Calculate_Technical_Metadata___Column[[#This Row],[Type]])=TRUE, 0, 1)</f>
        <v>1</v>
      </c>
      <c r="U18" s="11">
        <f>IF(ISBLANK(Calculate_Technical_Metadata___Column[[#This Row],[Format]])=TRUE, 0, 1)</f>
        <v>1</v>
      </c>
      <c r="V18" s="11">
        <f>IF(ISBLANK(Calculate_Technical_Metadata___Column[[#This Row],[Nullable]])=TRUE, 0, 1)</f>
        <v>1</v>
      </c>
      <c r="W18" s="11">
        <f>IF(ISBLANK(Calculate_Technical_Metadata___Column[[#This Row],[Updated Date ]])=TRUE, 0, 1)</f>
        <v>1</v>
      </c>
      <c r="X18" s="11">
        <f>IF(ISBLANK(Calculate_Technical_Metadata___Column[[#This Row],[Updated By]])=TRUE, 0, 1)</f>
        <v>1</v>
      </c>
      <c r="Z18">
        <f>IF(COUNTIFS('Cal_Technical - Data Set'!A:A, Calculate_Technical_Metadata___Column[[#This Row],[Data Set Name]]) &gt; 0, 1,0)</f>
        <v>1</v>
      </c>
      <c r="AB18">
        <f>IF( COUNTIFS(C:C, Calculate_Technical_Metadata___Column[[#This Row],[Data Set Name]], D:D, Calculate_Technical_Metadata___Column[[#This Row],[Column Name]], A:A, Calculate_Technical_Metadata___Column[[#This Row],[System/Data Subject Area Name]], B:B, Calculate_Technical_Metadata___Column[[#This Row],[Schema/Database Name]]) &lt;&gt; 1, 0, 1)</f>
        <v>1</v>
      </c>
      <c r="AD18" s="11">
        <f>IF(ISERROR(FIND("  ",Calculate_Technical_Metadata___Column[[#This Row],[System/Data Subject Area Name]], 1))=TRUE, 1, 0)</f>
        <v>1</v>
      </c>
      <c r="AE18" s="11">
        <f>IF(ISERROR(FIND(" ",Calculate_Technical_Metadata___Column[[#This Row],[Schema/Database Name]], 1))=TRUE, 1, 0)</f>
        <v>1</v>
      </c>
      <c r="AF18" s="11">
        <f>IF(OR(ISERROR(FIND(" ",Calculate_Technical_Metadata___Column[[#This Row],[Data Set Name]], 1))=TRUE, ISERROR(FIND("__",Calculate_Technical_Metadata___Column[[#This Row],[Data Set Name]], 1))=TRUE)=TRUE, 1, 0)</f>
        <v>1</v>
      </c>
      <c r="AG18" s="11">
        <f>IF(ISERROR(FIND(" ",Calculate_Technical_Metadata___Column[[#This Row],[Column Name]], 1))=TRUE, 1, 0)</f>
        <v>1</v>
      </c>
      <c r="AH18" s="11">
        <f>IF(ISERROR(FIND("  ",Calculate_Technical_Metadata___Column[[#This Row],[Updated By]], 1))=TRUE, 1, 0)</f>
        <v>1</v>
      </c>
      <c r="AJ18">
        <f>IF(OR(Calculate_Technical_Metadata___Column[[#This Row],[Data Zone (MDZ/GDZ)]]="GDZ",Calculate_Technical_Metadata___Column[[#This Row],[Data Zone (MDZ/GDZ)]]= "MDZ",Calculate_Technical_Metadata___Column[[#This Row],[Data Zone (MDZ/GDZ)]]= "INVX Data Lake")=TRUE, 1, 0)</f>
        <v>1</v>
      </c>
      <c r="AK18" s="11">
        <f>IF(OR(Calculate_Technical_Metadata___Column[[#This Row],[PII/Non-PII]]="PII",Calculate_Technical_Metadata___Column[[#This Row],[PII/Non-PII]]= "Non-PII")=TRUE, 1, 0)</f>
        <v>1</v>
      </c>
      <c r="AL18" s="11" t="str">
        <f xml:space="preserve"> IF(ISERROR(FIND("(",Calculate_Technical_Metadata___Column[[#This Row],[Type]], 1)) = FALSE, _xlfn.TEXTBEFORE(Calculate_Technical_Metadata___Column[[#This Row],[Type]], "("),Calculate_Technical_Metadata___Column[[#This Row],[Type]])</f>
        <v>string</v>
      </c>
      <c r="AM18" s="11">
        <f>IF(COUNTIF(Type!A:A,Calculate_Technical_Metadata___Column[[#This Row],[Type]]) &gt; 0, 1, 0)</f>
        <v>1</v>
      </c>
      <c r="AN18" s="13">
        <f>IF(OR(Calculate_Technical_Metadata___Column[[#This Row],[Nullable]]="Yes",Calculate_Technical_Metadata___Column[[#This Row],[Nullable]]="No")=TRUE, 1, 0)</f>
        <v>1</v>
      </c>
    </row>
    <row r="19" spans="1:40" x14ac:dyDescent="0.3">
      <c r="A19" s="73" t="s">
        <v>38</v>
      </c>
      <c r="B19" s="73" t="s">
        <v>39</v>
      </c>
      <c r="C19" s="73" t="s">
        <v>40</v>
      </c>
      <c r="D19" s="73" t="s">
        <v>80</v>
      </c>
      <c r="E19" t="s">
        <v>42</v>
      </c>
      <c r="F19" s="73" t="s">
        <v>43</v>
      </c>
      <c r="G19" s="73" t="s">
        <v>76</v>
      </c>
      <c r="H19" s="73" t="s">
        <v>55</v>
      </c>
      <c r="I19" t="s">
        <v>78</v>
      </c>
      <c r="J19" s="73" t="s">
        <v>52</v>
      </c>
      <c r="K19" s="71">
        <v>45264</v>
      </c>
      <c r="L19" s="73" t="s">
        <v>57</v>
      </c>
      <c r="N19" s="11">
        <f>IF(ISBLANK(Calculate_Technical_Metadata___Column[[#This Row],[System/Data Subject Area Name]])=TRUE, 0, 1)</f>
        <v>1</v>
      </c>
      <c r="O19" s="11">
        <f>IF(ISBLANK(Calculate_Technical_Metadata___Column[[#This Row],[Schema/Database Name]])=TRUE, 0, 1)</f>
        <v>1</v>
      </c>
      <c r="P19" s="11">
        <f>IF(ISBLANK(Calculate_Technical_Metadata___Column[[#This Row],[Data Set Name]])=TRUE, 0, 1)</f>
        <v>1</v>
      </c>
      <c r="Q19" s="11">
        <f>IF(ISBLANK(Calculate_Technical_Metadata___Column[[#This Row],[Column Name]])=TRUE, 0, 1)</f>
        <v>1</v>
      </c>
      <c r="R19" s="11">
        <f>IF(ISBLANK(Calculate_Technical_Metadata___Column[[#This Row],[Data Zone (MDZ/GDZ)]])=TRUE, 0, 1)</f>
        <v>1</v>
      </c>
      <c r="S19" s="11">
        <f>IF(ISBLANK(Calculate_Technical_Metadata___Column[[#This Row],[PII/Non-PII]])=TRUE, 0, 1)</f>
        <v>1</v>
      </c>
      <c r="T19" s="11">
        <f>IF(ISBLANK(Calculate_Technical_Metadata___Column[[#This Row],[Type]])=TRUE, 0, 1)</f>
        <v>1</v>
      </c>
      <c r="U19" s="11">
        <f>IF(ISBLANK(Calculate_Technical_Metadata___Column[[#This Row],[Format]])=TRUE, 0, 1)</f>
        <v>1</v>
      </c>
      <c r="V19" s="11">
        <f>IF(ISBLANK(Calculate_Technical_Metadata___Column[[#This Row],[Nullable]])=TRUE, 0, 1)</f>
        <v>1</v>
      </c>
      <c r="W19" s="11">
        <f>IF(ISBLANK(Calculate_Technical_Metadata___Column[[#This Row],[Updated Date ]])=TRUE, 0, 1)</f>
        <v>1</v>
      </c>
      <c r="X19" s="11">
        <f>IF(ISBLANK(Calculate_Technical_Metadata___Column[[#This Row],[Updated By]])=TRUE, 0, 1)</f>
        <v>1</v>
      </c>
      <c r="Z19">
        <f>IF(COUNTIFS('Cal_Technical - Data Set'!A:A, Calculate_Technical_Metadata___Column[[#This Row],[Data Set Name]]) &gt; 0, 1,0)</f>
        <v>1</v>
      </c>
      <c r="AB19">
        <f>IF( COUNTIFS(C:C, Calculate_Technical_Metadata___Column[[#This Row],[Data Set Name]], D:D, Calculate_Technical_Metadata___Column[[#This Row],[Column Name]], A:A, Calculate_Technical_Metadata___Column[[#This Row],[System/Data Subject Area Name]], B:B, Calculate_Technical_Metadata___Column[[#This Row],[Schema/Database Name]]) &lt;&gt; 1, 0, 1)</f>
        <v>1</v>
      </c>
      <c r="AD19" s="11">
        <f>IF(ISERROR(FIND("  ",Calculate_Technical_Metadata___Column[[#This Row],[System/Data Subject Area Name]], 1))=TRUE, 1, 0)</f>
        <v>1</v>
      </c>
      <c r="AE19" s="11">
        <f>IF(ISERROR(FIND(" ",Calculate_Technical_Metadata___Column[[#This Row],[Schema/Database Name]], 1))=TRUE, 1, 0)</f>
        <v>1</v>
      </c>
      <c r="AF19" s="11">
        <f>IF(OR(ISERROR(FIND(" ",Calculate_Technical_Metadata___Column[[#This Row],[Data Set Name]], 1))=TRUE, ISERROR(FIND("__",Calculate_Technical_Metadata___Column[[#This Row],[Data Set Name]], 1))=TRUE)=TRUE, 1, 0)</f>
        <v>1</v>
      </c>
      <c r="AG19" s="11">
        <f>IF(ISERROR(FIND(" ",Calculate_Technical_Metadata___Column[[#This Row],[Column Name]], 1))=TRUE, 1, 0)</f>
        <v>1</v>
      </c>
      <c r="AH19" s="11">
        <f>IF(ISERROR(FIND("  ",Calculate_Technical_Metadata___Column[[#This Row],[Updated By]], 1))=TRUE, 1, 0)</f>
        <v>1</v>
      </c>
      <c r="AJ19">
        <f>IF(OR(Calculate_Technical_Metadata___Column[[#This Row],[Data Zone (MDZ/GDZ)]]="GDZ",Calculate_Technical_Metadata___Column[[#This Row],[Data Zone (MDZ/GDZ)]]= "MDZ",Calculate_Technical_Metadata___Column[[#This Row],[Data Zone (MDZ/GDZ)]]= "INVX Data Lake")=TRUE, 1, 0)</f>
        <v>1</v>
      </c>
      <c r="AK19" s="11">
        <f>IF(OR(Calculate_Technical_Metadata___Column[[#This Row],[PII/Non-PII]]="PII",Calculate_Technical_Metadata___Column[[#This Row],[PII/Non-PII]]= "Non-PII")=TRUE, 1, 0)</f>
        <v>1</v>
      </c>
      <c r="AL19" s="11" t="str">
        <f xml:space="preserve"> IF(ISERROR(FIND("(",Calculate_Technical_Metadata___Column[[#This Row],[Type]], 1)) = FALSE, _xlfn.TEXTBEFORE(Calculate_Technical_Metadata___Column[[#This Row],[Type]], "("),Calculate_Technical_Metadata___Column[[#This Row],[Type]])</f>
        <v>integer</v>
      </c>
      <c r="AM19" s="11">
        <f>IF(COUNTIF(Type!A:A,Calculate_Technical_Metadata___Column[[#This Row],[Type]]) &gt; 0, 1, 0)</f>
        <v>1</v>
      </c>
      <c r="AN19" s="13">
        <f>IF(OR(Calculate_Technical_Metadata___Column[[#This Row],[Nullable]]="Yes",Calculate_Technical_Metadata___Column[[#This Row],[Nullable]]="No")=TRUE, 1, 0)</f>
        <v>1</v>
      </c>
    </row>
    <row r="20" spans="1:40" x14ac:dyDescent="0.3">
      <c r="A20" s="73" t="s">
        <v>38</v>
      </c>
      <c r="B20" s="73" t="s">
        <v>39</v>
      </c>
      <c r="C20" s="73" t="s">
        <v>40</v>
      </c>
      <c r="D20" s="73" t="s">
        <v>81</v>
      </c>
      <c r="E20" t="s">
        <v>42</v>
      </c>
      <c r="F20" s="73" t="s">
        <v>43</v>
      </c>
      <c r="G20" s="73" t="s">
        <v>45</v>
      </c>
      <c r="H20" s="73" t="s">
        <v>46</v>
      </c>
      <c r="I20" t="s">
        <v>47</v>
      </c>
      <c r="J20" s="73" t="s">
        <v>52</v>
      </c>
      <c r="K20" s="71">
        <v>45264</v>
      </c>
      <c r="L20" s="73" t="s">
        <v>57</v>
      </c>
      <c r="N20" s="11">
        <f>IF(ISBLANK(Calculate_Technical_Metadata___Column[[#This Row],[System/Data Subject Area Name]])=TRUE, 0, 1)</f>
        <v>1</v>
      </c>
      <c r="O20" s="11">
        <f>IF(ISBLANK(Calculate_Technical_Metadata___Column[[#This Row],[Schema/Database Name]])=TRUE, 0, 1)</f>
        <v>1</v>
      </c>
      <c r="P20" s="11">
        <f>IF(ISBLANK(Calculate_Technical_Metadata___Column[[#This Row],[Data Set Name]])=TRUE, 0, 1)</f>
        <v>1</v>
      </c>
      <c r="Q20" s="11">
        <f>IF(ISBLANK(Calculate_Technical_Metadata___Column[[#This Row],[Column Name]])=TRUE, 0, 1)</f>
        <v>1</v>
      </c>
      <c r="R20" s="11">
        <f>IF(ISBLANK(Calculate_Technical_Metadata___Column[[#This Row],[Data Zone (MDZ/GDZ)]])=TRUE, 0, 1)</f>
        <v>1</v>
      </c>
      <c r="S20" s="11">
        <f>IF(ISBLANK(Calculate_Technical_Metadata___Column[[#This Row],[PII/Non-PII]])=TRUE, 0, 1)</f>
        <v>1</v>
      </c>
      <c r="T20" s="11">
        <f>IF(ISBLANK(Calculate_Technical_Metadata___Column[[#This Row],[Type]])=TRUE, 0, 1)</f>
        <v>1</v>
      </c>
      <c r="U20" s="11">
        <f>IF(ISBLANK(Calculate_Technical_Metadata___Column[[#This Row],[Format]])=TRUE, 0, 1)</f>
        <v>1</v>
      </c>
      <c r="V20" s="11">
        <f>IF(ISBLANK(Calculate_Technical_Metadata___Column[[#This Row],[Nullable]])=TRUE, 0, 1)</f>
        <v>1</v>
      </c>
      <c r="W20" s="11">
        <f>IF(ISBLANK(Calculate_Technical_Metadata___Column[[#This Row],[Updated Date ]])=TRUE, 0, 1)</f>
        <v>1</v>
      </c>
      <c r="X20" s="11">
        <f>IF(ISBLANK(Calculate_Technical_Metadata___Column[[#This Row],[Updated By]])=TRUE, 0, 1)</f>
        <v>1</v>
      </c>
      <c r="Z20">
        <f>IF(COUNTIFS('Cal_Technical - Data Set'!A:A, Calculate_Technical_Metadata___Column[[#This Row],[Data Set Name]]) &gt; 0, 1,0)</f>
        <v>1</v>
      </c>
      <c r="AB20">
        <f>IF( COUNTIFS(C:C, Calculate_Technical_Metadata___Column[[#This Row],[Data Set Name]], D:D, Calculate_Technical_Metadata___Column[[#This Row],[Column Name]], A:A, Calculate_Technical_Metadata___Column[[#This Row],[System/Data Subject Area Name]], B:B, Calculate_Technical_Metadata___Column[[#This Row],[Schema/Database Name]]) &lt;&gt; 1, 0, 1)</f>
        <v>1</v>
      </c>
      <c r="AD20" s="11">
        <f>IF(ISERROR(FIND("  ",Calculate_Technical_Metadata___Column[[#This Row],[System/Data Subject Area Name]], 1))=TRUE, 1, 0)</f>
        <v>1</v>
      </c>
      <c r="AE20" s="11">
        <f>IF(ISERROR(FIND(" ",Calculate_Technical_Metadata___Column[[#This Row],[Schema/Database Name]], 1))=TRUE, 1, 0)</f>
        <v>1</v>
      </c>
      <c r="AF20" s="11">
        <f>IF(OR(ISERROR(FIND(" ",Calculate_Technical_Metadata___Column[[#This Row],[Data Set Name]], 1))=TRUE, ISERROR(FIND("__",Calculate_Technical_Metadata___Column[[#This Row],[Data Set Name]], 1))=TRUE)=TRUE, 1, 0)</f>
        <v>1</v>
      </c>
      <c r="AG20" s="11">
        <f>IF(ISERROR(FIND(" ",Calculate_Technical_Metadata___Column[[#This Row],[Column Name]], 1))=TRUE, 1, 0)</f>
        <v>1</v>
      </c>
      <c r="AH20" s="11">
        <f>IF(ISERROR(FIND("  ",Calculate_Technical_Metadata___Column[[#This Row],[Updated By]], 1))=TRUE, 1, 0)</f>
        <v>1</v>
      </c>
      <c r="AJ20">
        <f>IF(OR(Calculate_Technical_Metadata___Column[[#This Row],[Data Zone (MDZ/GDZ)]]="GDZ",Calculate_Technical_Metadata___Column[[#This Row],[Data Zone (MDZ/GDZ)]]= "MDZ",Calculate_Technical_Metadata___Column[[#This Row],[Data Zone (MDZ/GDZ)]]= "INVX Data Lake")=TRUE, 1, 0)</f>
        <v>1</v>
      </c>
      <c r="AK20" s="11">
        <f>IF(OR(Calculate_Technical_Metadata___Column[[#This Row],[PII/Non-PII]]="PII",Calculate_Technical_Metadata___Column[[#This Row],[PII/Non-PII]]= "Non-PII")=TRUE, 1, 0)</f>
        <v>1</v>
      </c>
      <c r="AL20" s="11" t="str">
        <f xml:space="preserve"> IF(ISERROR(FIND("(",Calculate_Technical_Metadata___Column[[#This Row],[Type]], 1)) = FALSE, _xlfn.TEXTBEFORE(Calculate_Technical_Metadata___Column[[#This Row],[Type]], "("),Calculate_Technical_Metadata___Column[[#This Row],[Type]])</f>
        <v>string</v>
      </c>
      <c r="AM20" s="11">
        <f>IF(COUNTIF(Type!A:A,Calculate_Technical_Metadata___Column[[#This Row],[Type]]) &gt; 0, 1, 0)</f>
        <v>1</v>
      </c>
      <c r="AN20" s="13">
        <f>IF(OR(Calculate_Technical_Metadata___Column[[#This Row],[Nullable]]="Yes",Calculate_Technical_Metadata___Column[[#This Row],[Nullable]]="No")=TRUE, 1, 0)</f>
        <v>1</v>
      </c>
    </row>
    <row r="21" spans="1:40" x14ac:dyDescent="0.3">
      <c r="A21" s="73" t="s">
        <v>38</v>
      </c>
      <c r="B21" s="73" t="s">
        <v>39</v>
      </c>
      <c r="C21" s="73" t="s">
        <v>40</v>
      </c>
      <c r="D21" s="73" t="s">
        <v>82</v>
      </c>
      <c r="E21" t="s">
        <v>42</v>
      </c>
      <c r="F21" s="73" t="s">
        <v>43</v>
      </c>
      <c r="G21" s="73" t="s">
        <v>45</v>
      </c>
      <c r="H21" s="73" t="s">
        <v>46</v>
      </c>
      <c r="I21" t="s">
        <v>47</v>
      </c>
      <c r="J21" s="73" t="s">
        <v>52</v>
      </c>
      <c r="K21" s="71">
        <v>45264</v>
      </c>
      <c r="L21" s="73" t="s">
        <v>57</v>
      </c>
      <c r="N21" s="11">
        <f>IF(ISBLANK(Calculate_Technical_Metadata___Column[[#This Row],[System/Data Subject Area Name]])=TRUE, 0, 1)</f>
        <v>1</v>
      </c>
      <c r="O21" s="11">
        <f>IF(ISBLANK(Calculate_Technical_Metadata___Column[[#This Row],[Schema/Database Name]])=TRUE, 0, 1)</f>
        <v>1</v>
      </c>
      <c r="P21" s="11">
        <f>IF(ISBLANK(Calculate_Technical_Metadata___Column[[#This Row],[Data Set Name]])=TRUE, 0, 1)</f>
        <v>1</v>
      </c>
      <c r="Q21" s="11">
        <f>IF(ISBLANK(Calculate_Technical_Metadata___Column[[#This Row],[Column Name]])=TRUE, 0, 1)</f>
        <v>1</v>
      </c>
      <c r="R21" s="11">
        <f>IF(ISBLANK(Calculate_Technical_Metadata___Column[[#This Row],[Data Zone (MDZ/GDZ)]])=TRUE, 0, 1)</f>
        <v>1</v>
      </c>
      <c r="S21" s="11">
        <f>IF(ISBLANK(Calculate_Technical_Metadata___Column[[#This Row],[PII/Non-PII]])=TRUE, 0, 1)</f>
        <v>1</v>
      </c>
      <c r="T21" s="11">
        <f>IF(ISBLANK(Calculate_Technical_Metadata___Column[[#This Row],[Type]])=TRUE, 0, 1)</f>
        <v>1</v>
      </c>
      <c r="U21" s="11">
        <f>IF(ISBLANK(Calculate_Technical_Metadata___Column[[#This Row],[Format]])=TRUE, 0, 1)</f>
        <v>1</v>
      </c>
      <c r="V21" s="11">
        <f>IF(ISBLANK(Calculate_Technical_Metadata___Column[[#This Row],[Nullable]])=TRUE, 0, 1)</f>
        <v>1</v>
      </c>
      <c r="W21" s="11">
        <f>IF(ISBLANK(Calculate_Technical_Metadata___Column[[#This Row],[Updated Date ]])=TRUE, 0, 1)</f>
        <v>1</v>
      </c>
      <c r="X21" s="11">
        <f>IF(ISBLANK(Calculate_Technical_Metadata___Column[[#This Row],[Updated By]])=TRUE, 0, 1)</f>
        <v>1</v>
      </c>
      <c r="Z21">
        <f>IF(COUNTIFS('Cal_Technical - Data Set'!A:A, Calculate_Technical_Metadata___Column[[#This Row],[Data Set Name]]) &gt; 0, 1,0)</f>
        <v>1</v>
      </c>
      <c r="AB21">
        <f>IF( COUNTIFS(C:C, Calculate_Technical_Metadata___Column[[#This Row],[Data Set Name]], D:D, Calculate_Technical_Metadata___Column[[#This Row],[Column Name]], A:A, Calculate_Technical_Metadata___Column[[#This Row],[System/Data Subject Area Name]], B:B, Calculate_Technical_Metadata___Column[[#This Row],[Schema/Database Name]]) &lt;&gt; 1, 0, 1)</f>
        <v>1</v>
      </c>
      <c r="AD21" s="11">
        <f>IF(ISERROR(FIND("  ",Calculate_Technical_Metadata___Column[[#This Row],[System/Data Subject Area Name]], 1))=TRUE, 1, 0)</f>
        <v>1</v>
      </c>
      <c r="AE21" s="11">
        <f>IF(ISERROR(FIND(" ",Calculate_Technical_Metadata___Column[[#This Row],[Schema/Database Name]], 1))=TRUE, 1, 0)</f>
        <v>1</v>
      </c>
      <c r="AF21" s="11">
        <f>IF(OR(ISERROR(FIND(" ",Calculate_Technical_Metadata___Column[[#This Row],[Data Set Name]], 1))=TRUE, ISERROR(FIND("__",Calculate_Technical_Metadata___Column[[#This Row],[Data Set Name]], 1))=TRUE)=TRUE, 1, 0)</f>
        <v>1</v>
      </c>
      <c r="AG21" s="11">
        <f>IF(ISERROR(FIND(" ",Calculate_Technical_Metadata___Column[[#This Row],[Column Name]], 1))=TRUE, 1, 0)</f>
        <v>1</v>
      </c>
      <c r="AH21" s="11">
        <f>IF(ISERROR(FIND("  ",Calculate_Technical_Metadata___Column[[#This Row],[Updated By]], 1))=TRUE, 1, 0)</f>
        <v>1</v>
      </c>
      <c r="AJ21">
        <f>IF(OR(Calculate_Technical_Metadata___Column[[#This Row],[Data Zone (MDZ/GDZ)]]="GDZ",Calculate_Technical_Metadata___Column[[#This Row],[Data Zone (MDZ/GDZ)]]= "MDZ",Calculate_Technical_Metadata___Column[[#This Row],[Data Zone (MDZ/GDZ)]]= "INVX Data Lake")=TRUE, 1, 0)</f>
        <v>1</v>
      </c>
      <c r="AK21" s="11">
        <f>IF(OR(Calculate_Technical_Metadata___Column[[#This Row],[PII/Non-PII]]="PII",Calculate_Technical_Metadata___Column[[#This Row],[PII/Non-PII]]= "Non-PII")=TRUE, 1, 0)</f>
        <v>1</v>
      </c>
      <c r="AL21" s="11" t="str">
        <f xml:space="preserve"> IF(ISERROR(FIND("(",Calculate_Technical_Metadata___Column[[#This Row],[Type]], 1)) = FALSE, _xlfn.TEXTBEFORE(Calculate_Technical_Metadata___Column[[#This Row],[Type]], "("),Calculate_Technical_Metadata___Column[[#This Row],[Type]])</f>
        <v>string</v>
      </c>
      <c r="AM21" s="11">
        <f>IF(COUNTIF(Type!A:A,Calculate_Technical_Metadata___Column[[#This Row],[Type]]) &gt; 0, 1, 0)</f>
        <v>1</v>
      </c>
      <c r="AN21" s="13">
        <f>IF(OR(Calculate_Technical_Metadata___Column[[#This Row],[Nullable]]="Yes",Calculate_Technical_Metadata___Column[[#This Row],[Nullable]]="No")=TRUE, 1, 0)</f>
        <v>1</v>
      </c>
    </row>
    <row r="22" spans="1:40" x14ac:dyDescent="0.3">
      <c r="A22" s="73" t="s">
        <v>38</v>
      </c>
      <c r="B22" s="73" t="s">
        <v>39</v>
      </c>
      <c r="C22" s="73" t="s">
        <v>40</v>
      </c>
      <c r="D22" s="73" t="s">
        <v>83</v>
      </c>
      <c r="E22" t="s">
        <v>42</v>
      </c>
      <c r="F22" s="73" t="s">
        <v>43</v>
      </c>
      <c r="G22" s="73" t="s">
        <v>45</v>
      </c>
      <c r="H22" s="73" t="s">
        <v>46</v>
      </c>
      <c r="I22" t="s">
        <v>47</v>
      </c>
      <c r="J22" s="73" t="s">
        <v>52</v>
      </c>
      <c r="K22" s="71">
        <v>45264</v>
      </c>
      <c r="L22" s="73" t="s">
        <v>57</v>
      </c>
      <c r="N22" s="11">
        <f>IF(ISBLANK(Calculate_Technical_Metadata___Column[[#This Row],[System/Data Subject Area Name]])=TRUE, 0, 1)</f>
        <v>1</v>
      </c>
      <c r="O22" s="11">
        <f>IF(ISBLANK(Calculate_Technical_Metadata___Column[[#This Row],[Schema/Database Name]])=TRUE, 0, 1)</f>
        <v>1</v>
      </c>
      <c r="P22" s="11">
        <f>IF(ISBLANK(Calculate_Technical_Metadata___Column[[#This Row],[Data Set Name]])=TRUE, 0, 1)</f>
        <v>1</v>
      </c>
      <c r="Q22" s="11">
        <f>IF(ISBLANK(Calculate_Technical_Metadata___Column[[#This Row],[Column Name]])=TRUE, 0, 1)</f>
        <v>1</v>
      </c>
      <c r="R22" s="11">
        <f>IF(ISBLANK(Calculate_Technical_Metadata___Column[[#This Row],[Data Zone (MDZ/GDZ)]])=TRUE, 0, 1)</f>
        <v>1</v>
      </c>
      <c r="S22" s="11">
        <f>IF(ISBLANK(Calculate_Technical_Metadata___Column[[#This Row],[PII/Non-PII]])=TRUE, 0, 1)</f>
        <v>1</v>
      </c>
      <c r="T22" s="11">
        <f>IF(ISBLANK(Calculate_Technical_Metadata___Column[[#This Row],[Type]])=TRUE, 0, 1)</f>
        <v>1</v>
      </c>
      <c r="U22" s="11">
        <f>IF(ISBLANK(Calculate_Technical_Metadata___Column[[#This Row],[Format]])=TRUE, 0, 1)</f>
        <v>1</v>
      </c>
      <c r="V22" s="11">
        <f>IF(ISBLANK(Calculate_Technical_Metadata___Column[[#This Row],[Nullable]])=TRUE, 0, 1)</f>
        <v>1</v>
      </c>
      <c r="W22" s="11">
        <f>IF(ISBLANK(Calculate_Technical_Metadata___Column[[#This Row],[Updated Date ]])=TRUE, 0, 1)</f>
        <v>1</v>
      </c>
      <c r="X22" s="11">
        <f>IF(ISBLANK(Calculate_Technical_Metadata___Column[[#This Row],[Updated By]])=TRUE, 0, 1)</f>
        <v>1</v>
      </c>
      <c r="Z22">
        <f>IF(COUNTIFS('Cal_Technical - Data Set'!A:A, Calculate_Technical_Metadata___Column[[#This Row],[Data Set Name]]) &gt; 0, 1,0)</f>
        <v>1</v>
      </c>
      <c r="AB22">
        <f>IF( COUNTIFS(C:C, Calculate_Technical_Metadata___Column[[#This Row],[Data Set Name]], D:D, Calculate_Technical_Metadata___Column[[#This Row],[Column Name]], A:A, Calculate_Technical_Metadata___Column[[#This Row],[System/Data Subject Area Name]], B:B, Calculate_Technical_Metadata___Column[[#This Row],[Schema/Database Name]]) &lt;&gt; 1, 0, 1)</f>
        <v>1</v>
      </c>
      <c r="AD22" s="11">
        <f>IF(ISERROR(FIND("  ",Calculate_Technical_Metadata___Column[[#This Row],[System/Data Subject Area Name]], 1))=TRUE, 1, 0)</f>
        <v>1</v>
      </c>
      <c r="AE22" s="11">
        <f>IF(ISERROR(FIND(" ",Calculate_Technical_Metadata___Column[[#This Row],[Schema/Database Name]], 1))=TRUE, 1, 0)</f>
        <v>1</v>
      </c>
      <c r="AF22" s="11">
        <f>IF(OR(ISERROR(FIND(" ",Calculate_Technical_Metadata___Column[[#This Row],[Data Set Name]], 1))=TRUE, ISERROR(FIND("__",Calculate_Technical_Metadata___Column[[#This Row],[Data Set Name]], 1))=TRUE)=TRUE, 1, 0)</f>
        <v>1</v>
      </c>
      <c r="AG22" s="11">
        <f>IF(ISERROR(FIND(" ",Calculate_Technical_Metadata___Column[[#This Row],[Column Name]], 1))=TRUE, 1, 0)</f>
        <v>1</v>
      </c>
      <c r="AH22" s="11">
        <f>IF(ISERROR(FIND("  ",Calculate_Technical_Metadata___Column[[#This Row],[Updated By]], 1))=TRUE, 1, 0)</f>
        <v>1</v>
      </c>
      <c r="AJ22">
        <f>IF(OR(Calculate_Technical_Metadata___Column[[#This Row],[Data Zone (MDZ/GDZ)]]="GDZ",Calculate_Technical_Metadata___Column[[#This Row],[Data Zone (MDZ/GDZ)]]= "MDZ",Calculate_Technical_Metadata___Column[[#This Row],[Data Zone (MDZ/GDZ)]]= "INVX Data Lake")=TRUE, 1, 0)</f>
        <v>1</v>
      </c>
      <c r="AK22" s="11">
        <f>IF(OR(Calculate_Technical_Metadata___Column[[#This Row],[PII/Non-PII]]="PII",Calculate_Technical_Metadata___Column[[#This Row],[PII/Non-PII]]= "Non-PII")=TRUE, 1, 0)</f>
        <v>1</v>
      </c>
      <c r="AL22" s="11" t="str">
        <f xml:space="preserve"> IF(ISERROR(FIND("(",Calculate_Technical_Metadata___Column[[#This Row],[Type]], 1)) = FALSE, _xlfn.TEXTBEFORE(Calculate_Technical_Metadata___Column[[#This Row],[Type]], "("),Calculate_Technical_Metadata___Column[[#This Row],[Type]])</f>
        <v>string</v>
      </c>
      <c r="AM22" s="11">
        <f>IF(COUNTIF(Type!A:A,Calculate_Technical_Metadata___Column[[#This Row],[Type]]) &gt; 0, 1, 0)</f>
        <v>1</v>
      </c>
      <c r="AN22" s="13">
        <f>IF(OR(Calculate_Technical_Metadata___Column[[#This Row],[Nullable]]="Yes",Calculate_Technical_Metadata___Column[[#This Row],[Nullable]]="No")=TRUE, 1, 0)</f>
        <v>1</v>
      </c>
    </row>
    <row r="23" spans="1:40" x14ac:dyDescent="0.3">
      <c r="A23" s="73" t="s">
        <v>38</v>
      </c>
      <c r="B23" s="73" t="s">
        <v>39</v>
      </c>
      <c r="C23" s="73" t="s">
        <v>40</v>
      </c>
      <c r="D23" s="73" t="s">
        <v>84</v>
      </c>
      <c r="E23" t="s">
        <v>42</v>
      </c>
      <c r="F23" s="73" t="s">
        <v>54</v>
      </c>
      <c r="G23" s="73" t="s">
        <v>45</v>
      </c>
      <c r="H23" s="73" t="s">
        <v>46</v>
      </c>
      <c r="I23" t="s">
        <v>85</v>
      </c>
      <c r="J23" s="73" t="s">
        <v>52</v>
      </c>
      <c r="K23" s="71">
        <v>45264</v>
      </c>
      <c r="L23" s="73" t="s">
        <v>57</v>
      </c>
      <c r="N23" s="11">
        <f>IF(ISBLANK(Calculate_Technical_Metadata___Column[[#This Row],[System/Data Subject Area Name]])=TRUE, 0, 1)</f>
        <v>1</v>
      </c>
      <c r="O23" s="11">
        <f>IF(ISBLANK(Calculate_Technical_Metadata___Column[[#This Row],[Schema/Database Name]])=TRUE, 0, 1)</f>
        <v>1</v>
      </c>
      <c r="P23" s="11">
        <f>IF(ISBLANK(Calculate_Technical_Metadata___Column[[#This Row],[Data Set Name]])=TRUE, 0, 1)</f>
        <v>1</v>
      </c>
      <c r="Q23" s="11">
        <f>IF(ISBLANK(Calculate_Technical_Metadata___Column[[#This Row],[Column Name]])=TRUE, 0, 1)</f>
        <v>1</v>
      </c>
      <c r="R23" s="11">
        <f>IF(ISBLANK(Calculate_Technical_Metadata___Column[[#This Row],[Data Zone (MDZ/GDZ)]])=TRUE, 0, 1)</f>
        <v>1</v>
      </c>
      <c r="S23" s="11">
        <f>IF(ISBLANK(Calculate_Technical_Metadata___Column[[#This Row],[PII/Non-PII]])=TRUE, 0, 1)</f>
        <v>1</v>
      </c>
      <c r="T23" s="11">
        <f>IF(ISBLANK(Calculate_Technical_Metadata___Column[[#This Row],[Type]])=TRUE, 0, 1)</f>
        <v>1</v>
      </c>
      <c r="U23" s="11">
        <f>IF(ISBLANK(Calculate_Technical_Metadata___Column[[#This Row],[Format]])=TRUE, 0, 1)</f>
        <v>1</v>
      </c>
      <c r="V23" s="11">
        <f>IF(ISBLANK(Calculate_Technical_Metadata___Column[[#This Row],[Nullable]])=TRUE, 0, 1)</f>
        <v>1</v>
      </c>
      <c r="W23" s="11">
        <f>IF(ISBLANK(Calculate_Technical_Metadata___Column[[#This Row],[Updated Date ]])=TRUE, 0, 1)</f>
        <v>1</v>
      </c>
      <c r="X23" s="11">
        <f>IF(ISBLANK(Calculate_Technical_Metadata___Column[[#This Row],[Updated By]])=TRUE, 0, 1)</f>
        <v>1</v>
      </c>
      <c r="Z23">
        <f>IF(COUNTIFS('Cal_Technical - Data Set'!A:A, Calculate_Technical_Metadata___Column[[#This Row],[Data Set Name]]) &gt; 0, 1,0)</f>
        <v>1</v>
      </c>
      <c r="AB23">
        <f>IF( COUNTIFS(C:C, Calculate_Technical_Metadata___Column[[#This Row],[Data Set Name]], D:D, Calculate_Technical_Metadata___Column[[#This Row],[Column Name]], A:A, Calculate_Technical_Metadata___Column[[#This Row],[System/Data Subject Area Name]], B:B, Calculate_Technical_Metadata___Column[[#This Row],[Schema/Database Name]]) &lt;&gt; 1, 0, 1)</f>
        <v>1</v>
      </c>
      <c r="AD23" s="11">
        <f>IF(ISERROR(FIND("  ",Calculate_Technical_Metadata___Column[[#This Row],[System/Data Subject Area Name]], 1))=TRUE, 1, 0)</f>
        <v>1</v>
      </c>
      <c r="AE23" s="11">
        <f>IF(ISERROR(FIND(" ",Calculate_Technical_Metadata___Column[[#This Row],[Schema/Database Name]], 1))=TRUE, 1, 0)</f>
        <v>1</v>
      </c>
      <c r="AF23" s="11">
        <f>IF(OR(ISERROR(FIND(" ",Calculate_Technical_Metadata___Column[[#This Row],[Data Set Name]], 1))=TRUE, ISERROR(FIND("__",Calculate_Technical_Metadata___Column[[#This Row],[Data Set Name]], 1))=TRUE)=TRUE, 1, 0)</f>
        <v>1</v>
      </c>
      <c r="AG23" s="11">
        <f>IF(ISERROR(FIND(" ",Calculate_Technical_Metadata___Column[[#This Row],[Column Name]], 1))=TRUE, 1, 0)</f>
        <v>1</v>
      </c>
      <c r="AH23" s="11">
        <f>IF(ISERROR(FIND("  ",Calculate_Technical_Metadata___Column[[#This Row],[Updated By]], 1))=TRUE, 1, 0)</f>
        <v>1</v>
      </c>
      <c r="AJ23">
        <f>IF(OR(Calculate_Technical_Metadata___Column[[#This Row],[Data Zone (MDZ/GDZ)]]="GDZ",Calculate_Technical_Metadata___Column[[#This Row],[Data Zone (MDZ/GDZ)]]= "MDZ",Calculate_Technical_Metadata___Column[[#This Row],[Data Zone (MDZ/GDZ)]]= "INVX Data Lake")=TRUE, 1, 0)</f>
        <v>1</v>
      </c>
      <c r="AK23" s="11">
        <f>IF(OR(Calculate_Technical_Metadata___Column[[#This Row],[PII/Non-PII]]="PII",Calculate_Technical_Metadata___Column[[#This Row],[PII/Non-PII]]= "Non-PII")=TRUE, 1, 0)</f>
        <v>1</v>
      </c>
      <c r="AL23" s="11" t="str">
        <f xml:space="preserve"> IF(ISERROR(FIND("(",Calculate_Technical_Metadata___Column[[#This Row],[Type]], 1)) = FALSE, _xlfn.TEXTBEFORE(Calculate_Technical_Metadata___Column[[#This Row],[Type]], "("),Calculate_Technical_Metadata___Column[[#This Row],[Type]])</f>
        <v>string</v>
      </c>
      <c r="AM23" s="11">
        <f>IF(COUNTIF(Type!A:A,Calculate_Technical_Metadata___Column[[#This Row],[Type]]) &gt; 0, 1, 0)</f>
        <v>1</v>
      </c>
      <c r="AN23" s="13">
        <f>IF(OR(Calculate_Technical_Metadata___Column[[#This Row],[Nullable]]="Yes",Calculate_Technical_Metadata___Column[[#This Row],[Nullable]]="No")=TRUE, 1, 0)</f>
        <v>1</v>
      </c>
    </row>
    <row r="24" spans="1:40" x14ac:dyDescent="0.3">
      <c r="A24" s="73" t="s">
        <v>38</v>
      </c>
      <c r="B24" s="73" t="s">
        <v>39</v>
      </c>
      <c r="C24" s="73" t="s">
        <v>40</v>
      </c>
      <c r="D24" s="73" t="s">
        <v>86</v>
      </c>
      <c r="E24" t="s">
        <v>42</v>
      </c>
      <c r="F24" s="73" t="s">
        <v>43</v>
      </c>
      <c r="G24" s="73" t="s">
        <v>45</v>
      </c>
      <c r="H24" s="73" t="s">
        <v>46</v>
      </c>
      <c r="I24" t="s">
        <v>47</v>
      </c>
      <c r="J24" s="73" t="s">
        <v>52</v>
      </c>
      <c r="K24" s="71">
        <v>45264</v>
      </c>
      <c r="L24" s="73" t="s">
        <v>57</v>
      </c>
      <c r="N24" s="11">
        <f>IF(ISBLANK(Calculate_Technical_Metadata___Column[[#This Row],[System/Data Subject Area Name]])=TRUE, 0, 1)</f>
        <v>1</v>
      </c>
      <c r="O24" s="11">
        <f>IF(ISBLANK(Calculate_Technical_Metadata___Column[[#This Row],[Schema/Database Name]])=TRUE, 0, 1)</f>
        <v>1</v>
      </c>
      <c r="P24" s="11">
        <f>IF(ISBLANK(Calculate_Technical_Metadata___Column[[#This Row],[Data Set Name]])=TRUE, 0, 1)</f>
        <v>1</v>
      </c>
      <c r="Q24" s="11">
        <f>IF(ISBLANK(Calculate_Technical_Metadata___Column[[#This Row],[Column Name]])=TRUE, 0, 1)</f>
        <v>1</v>
      </c>
      <c r="R24" s="11">
        <f>IF(ISBLANK(Calculate_Technical_Metadata___Column[[#This Row],[Data Zone (MDZ/GDZ)]])=TRUE, 0, 1)</f>
        <v>1</v>
      </c>
      <c r="S24" s="11">
        <f>IF(ISBLANK(Calculate_Technical_Metadata___Column[[#This Row],[PII/Non-PII]])=TRUE, 0, 1)</f>
        <v>1</v>
      </c>
      <c r="T24" s="11">
        <f>IF(ISBLANK(Calculate_Technical_Metadata___Column[[#This Row],[Type]])=TRUE, 0, 1)</f>
        <v>1</v>
      </c>
      <c r="U24" s="11">
        <f>IF(ISBLANK(Calculate_Technical_Metadata___Column[[#This Row],[Format]])=TRUE, 0, 1)</f>
        <v>1</v>
      </c>
      <c r="V24" s="11">
        <f>IF(ISBLANK(Calculate_Technical_Metadata___Column[[#This Row],[Nullable]])=TRUE, 0, 1)</f>
        <v>1</v>
      </c>
      <c r="W24" s="11">
        <f>IF(ISBLANK(Calculate_Technical_Metadata___Column[[#This Row],[Updated Date ]])=TRUE, 0, 1)</f>
        <v>1</v>
      </c>
      <c r="X24" s="11">
        <f>IF(ISBLANK(Calculate_Technical_Metadata___Column[[#This Row],[Updated By]])=TRUE, 0, 1)</f>
        <v>1</v>
      </c>
      <c r="Z24">
        <f>IF(COUNTIFS('Cal_Technical - Data Set'!A:A, Calculate_Technical_Metadata___Column[[#This Row],[Data Set Name]]) &gt; 0, 1,0)</f>
        <v>1</v>
      </c>
      <c r="AB24">
        <f>IF( COUNTIFS(C:C, Calculate_Technical_Metadata___Column[[#This Row],[Data Set Name]], D:D, Calculate_Technical_Metadata___Column[[#This Row],[Column Name]], A:A, Calculate_Technical_Metadata___Column[[#This Row],[System/Data Subject Area Name]], B:B, Calculate_Technical_Metadata___Column[[#This Row],[Schema/Database Name]]) &lt;&gt; 1, 0, 1)</f>
        <v>1</v>
      </c>
      <c r="AD24" s="11">
        <f>IF(ISERROR(FIND("  ",Calculate_Technical_Metadata___Column[[#This Row],[System/Data Subject Area Name]], 1))=TRUE, 1, 0)</f>
        <v>1</v>
      </c>
      <c r="AE24" s="11">
        <f>IF(ISERROR(FIND(" ",Calculate_Technical_Metadata___Column[[#This Row],[Schema/Database Name]], 1))=TRUE, 1, 0)</f>
        <v>1</v>
      </c>
      <c r="AF24" s="11">
        <f>IF(OR(ISERROR(FIND(" ",Calculate_Technical_Metadata___Column[[#This Row],[Data Set Name]], 1))=TRUE, ISERROR(FIND("__",Calculate_Technical_Metadata___Column[[#This Row],[Data Set Name]], 1))=TRUE)=TRUE, 1, 0)</f>
        <v>1</v>
      </c>
      <c r="AG24" s="11">
        <f>IF(ISERROR(FIND(" ",Calculate_Technical_Metadata___Column[[#This Row],[Column Name]], 1))=TRUE, 1, 0)</f>
        <v>1</v>
      </c>
      <c r="AH24" s="11">
        <f>IF(ISERROR(FIND("  ",Calculate_Technical_Metadata___Column[[#This Row],[Updated By]], 1))=TRUE, 1, 0)</f>
        <v>1</v>
      </c>
      <c r="AJ24">
        <f>IF(OR(Calculate_Technical_Metadata___Column[[#This Row],[Data Zone (MDZ/GDZ)]]="GDZ",Calculate_Technical_Metadata___Column[[#This Row],[Data Zone (MDZ/GDZ)]]= "MDZ",Calculate_Technical_Metadata___Column[[#This Row],[Data Zone (MDZ/GDZ)]]= "INVX Data Lake")=TRUE, 1, 0)</f>
        <v>1</v>
      </c>
      <c r="AK24" s="11">
        <f>IF(OR(Calculate_Technical_Metadata___Column[[#This Row],[PII/Non-PII]]="PII",Calculate_Technical_Metadata___Column[[#This Row],[PII/Non-PII]]= "Non-PII")=TRUE, 1, 0)</f>
        <v>1</v>
      </c>
      <c r="AL24" s="11" t="str">
        <f xml:space="preserve"> IF(ISERROR(FIND("(",Calculate_Technical_Metadata___Column[[#This Row],[Type]], 1)) = FALSE, _xlfn.TEXTBEFORE(Calculate_Technical_Metadata___Column[[#This Row],[Type]], "("),Calculate_Technical_Metadata___Column[[#This Row],[Type]])</f>
        <v>string</v>
      </c>
      <c r="AM24" s="11">
        <f>IF(COUNTIF(Type!A:A,Calculate_Technical_Metadata___Column[[#This Row],[Type]]) &gt; 0, 1, 0)</f>
        <v>1</v>
      </c>
      <c r="AN24" s="13">
        <f>IF(OR(Calculate_Technical_Metadata___Column[[#This Row],[Nullable]]="Yes",Calculate_Technical_Metadata___Column[[#This Row],[Nullable]]="No")=TRUE, 1, 0)</f>
        <v>1</v>
      </c>
    </row>
    <row r="25" spans="1:40" x14ac:dyDescent="0.3">
      <c r="A25" s="73" t="s">
        <v>38</v>
      </c>
      <c r="B25" s="73" t="s">
        <v>39</v>
      </c>
      <c r="C25" s="73" t="s">
        <v>40</v>
      </c>
      <c r="D25" s="73" t="s">
        <v>87</v>
      </c>
      <c r="E25" t="s">
        <v>42</v>
      </c>
      <c r="F25" s="73" t="s">
        <v>54</v>
      </c>
      <c r="G25" s="73" t="s">
        <v>45</v>
      </c>
      <c r="H25" s="73" t="s">
        <v>46</v>
      </c>
      <c r="I25" t="s">
        <v>47</v>
      </c>
      <c r="J25" s="73" t="s">
        <v>52</v>
      </c>
      <c r="K25" s="71">
        <v>45264</v>
      </c>
      <c r="L25" s="73" t="s">
        <v>57</v>
      </c>
      <c r="N25" s="11">
        <f>IF(ISBLANK(Calculate_Technical_Metadata___Column[[#This Row],[System/Data Subject Area Name]])=TRUE, 0, 1)</f>
        <v>1</v>
      </c>
      <c r="O25" s="11">
        <f>IF(ISBLANK(Calculate_Technical_Metadata___Column[[#This Row],[Schema/Database Name]])=TRUE, 0, 1)</f>
        <v>1</v>
      </c>
      <c r="P25" s="11">
        <f>IF(ISBLANK(Calculate_Technical_Metadata___Column[[#This Row],[Data Set Name]])=TRUE, 0, 1)</f>
        <v>1</v>
      </c>
      <c r="Q25" s="11">
        <f>IF(ISBLANK(Calculate_Technical_Metadata___Column[[#This Row],[Column Name]])=TRUE, 0, 1)</f>
        <v>1</v>
      </c>
      <c r="R25" s="11">
        <f>IF(ISBLANK(Calculate_Technical_Metadata___Column[[#This Row],[Data Zone (MDZ/GDZ)]])=TRUE, 0, 1)</f>
        <v>1</v>
      </c>
      <c r="S25" s="11">
        <f>IF(ISBLANK(Calculate_Technical_Metadata___Column[[#This Row],[PII/Non-PII]])=TRUE, 0, 1)</f>
        <v>1</v>
      </c>
      <c r="T25" s="11">
        <f>IF(ISBLANK(Calculate_Technical_Metadata___Column[[#This Row],[Type]])=TRUE, 0, 1)</f>
        <v>1</v>
      </c>
      <c r="U25" s="11">
        <f>IF(ISBLANK(Calculate_Technical_Metadata___Column[[#This Row],[Format]])=TRUE, 0, 1)</f>
        <v>1</v>
      </c>
      <c r="V25" s="11">
        <f>IF(ISBLANK(Calculate_Technical_Metadata___Column[[#This Row],[Nullable]])=TRUE, 0, 1)</f>
        <v>1</v>
      </c>
      <c r="W25" s="11">
        <f>IF(ISBLANK(Calculate_Technical_Metadata___Column[[#This Row],[Updated Date ]])=TRUE, 0, 1)</f>
        <v>1</v>
      </c>
      <c r="X25" s="11">
        <f>IF(ISBLANK(Calculate_Technical_Metadata___Column[[#This Row],[Updated By]])=TRUE, 0, 1)</f>
        <v>1</v>
      </c>
      <c r="Z25">
        <f>IF(COUNTIFS('Cal_Technical - Data Set'!A:A, Calculate_Technical_Metadata___Column[[#This Row],[Data Set Name]]) &gt; 0, 1,0)</f>
        <v>1</v>
      </c>
      <c r="AB25">
        <f>IF( COUNTIFS(C:C, Calculate_Technical_Metadata___Column[[#This Row],[Data Set Name]], D:D, Calculate_Technical_Metadata___Column[[#This Row],[Column Name]], A:A, Calculate_Technical_Metadata___Column[[#This Row],[System/Data Subject Area Name]], B:B, Calculate_Technical_Metadata___Column[[#This Row],[Schema/Database Name]]) &lt;&gt; 1, 0, 1)</f>
        <v>1</v>
      </c>
      <c r="AD25" s="11">
        <f>IF(ISERROR(FIND("  ",Calculate_Technical_Metadata___Column[[#This Row],[System/Data Subject Area Name]], 1))=TRUE, 1, 0)</f>
        <v>1</v>
      </c>
      <c r="AE25" s="11">
        <f>IF(ISERROR(FIND(" ",Calculate_Technical_Metadata___Column[[#This Row],[Schema/Database Name]], 1))=TRUE, 1, 0)</f>
        <v>1</v>
      </c>
      <c r="AF25" s="11">
        <f>IF(OR(ISERROR(FIND(" ",Calculate_Technical_Metadata___Column[[#This Row],[Data Set Name]], 1))=TRUE, ISERROR(FIND("__",Calculate_Technical_Metadata___Column[[#This Row],[Data Set Name]], 1))=TRUE)=TRUE, 1, 0)</f>
        <v>1</v>
      </c>
      <c r="AG25" s="11">
        <f>IF(ISERROR(FIND(" ",Calculate_Technical_Metadata___Column[[#This Row],[Column Name]], 1))=TRUE, 1, 0)</f>
        <v>1</v>
      </c>
      <c r="AH25" s="11">
        <f>IF(ISERROR(FIND("  ",Calculate_Technical_Metadata___Column[[#This Row],[Updated By]], 1))=TRUE, 1, 0)</f>
        <v>1</v>
      </c>
      <c r="AJ25">
        <f>IF(OR(Calculate_Technical_Metadata___Column[[#This Row],[Data Zone (MDZ/GDZ)]]="GDZ",Calculate_Technical_Metadata___Column[[#This Row],[Data Zone (MDZ/GDZ)]]= "MDZ",Calculate_Technical_Metadata___Column[[#This Row],[Data Zone (MDZ/GDZ)]]= "INVX Data Lake")=TRUE, 1, 0)</f>
        <v>1</v>
      </c>
      <c r="AK25" s="11">
        <f>IF(OR(Calculate_Technical_Metadata___Column[[#This Row],[PII/Non-PII]]="PII",Calculate_Technical_Metadata___Column[[#This Row],[PII/Non-PII]]= "Non-PII")=TRUE, 1, 0)</f>
        <v>1</v>
      </c>
      <c r="AL25" s="11" t="str">
        <f xml:space="preserve"> IF(ISERROR(FIND("(",Calculate_Technical_Metadata___Column[[#This Row],[Type]], 1)) = FALSE, _xlfn.TEXTBEFORE(Calculate_Technical_Metadata___Column[[#This Row],[Type]], "("),Calculate_Technical_Metadata___Column[[#This Row],[Type]])</f>
        <v>string</v>
      </c>
      <c r="AM25" s="11">
        <f>IF(COUNTIF(Type!A:A,Calculate_Technical_Metadata___Column[[#This Row],[Type]]) &gt; 0, 1, 0)</f>
        <v>1</v>
      </c>
      <c r="AN25" s="13">
        <f>IF(OR(Calculate_Technical_Metadata___Column[[#This Row],[Nullable]]="Yes",Calculate_Technical_Metadata___Column[[#This Row],[Nullable]]="No")=TRUE, 1, 0)</f>
        <v>1</v>
      </c>
    </row>
    <row r="26" spans="1:40" x14ac:dyDescent="0.3">
      <c r="A26" s="73" t="s">
        <v>38</v>
      </c>
      <c r="B26" s="73" t="s">
        <v>39</v>
      </c>
      <c r="C26" s="73" t="s">
        <v>40</v>
      </c>
      <c r="D26" s="73" t="s">
        <v>88</v>
      </c>
      <c r="E26" t="s">
        <v>42</v>
      </c>
      <c r="F26" s="73" t="s">
        <v>43</v>
      </c>
      <c r="G26" s="73" t="s">
        <v>346</v>
      </c>
      <c r="H26" s="73" t="s">
        <v>89</v>
      </c>
      <c r="I26" t="s">
        <v>90</v>
      </c>
      <c r="J26" s="73" t="s">
        <v>52</v>
      </c>
      <c r="K26" s="71">
        <v>45300</v>
      </c>
      <c r="L26" s="73" t="s">
        <v>49</v>
      </c>
      <c r="N26" s="11">
        <f>IF(ISBLANK(Calculate_Technical_Metadata___Column[[#This Row],[System/Data Subject Area Name]])=TRUE, 0, 1)</f>
        <v>1</v>
      </c>
      <c r="O26" s="11">
        <f>IF(ISBLANK(Calculate_Technical_Metadata___Column[[#This Row],[Schema/Database Name]])=TRUE, 0, 1)</f>
        <v>1</v>
      </c>
      <c r="P26" s="11">
        <f>IF(ISBLANK(Calculate_Technical_Metadata___Column[[#This Row],[Data Set Name]])=TRUE, 0, 1)</f>
        <v>1</v>
      </c>
      <c r="Q26" s="11">
        <f>IF(ISBLANK(Calculate_Technical_Metadata___Column[[#This Row],[Column Name]])=TRUE, 0, 1)</f>
        <v>1</v>
      </c>
      <c r="R26" s="11">
        <f>IF(ISBLANK(Calculate_Technical_Metadata___Column[[#This Row],[Data Zone (MDZ/GDZ)]])=TRUE, 0, 1)</f>
        <v>1</v>
      </c>
      <c r="S26" s="11">
        <f>IF(ISBLANK(Calculate_Technical_Metadata___Column[[#This Row],[PII/Non-PII]])=TRUE, 0, 1)</f>
        <v>1</v>
      </c>
      <c r="T26" s="11">
        <f>IF(ISBLANK(Calculate_Technical_Metadata___Column[[#This Row],[Type]])=TRUE, 0, 1)</f>
        <v>1</v>
      </c>
      <c r="U26" s="11">
        <f>IF(ISBLANK(Calculate_Technical_Metadata___Column[[#This Row],[Format]])=TRUE, 0, 1)</f>
        <v>1</v>
      </c>
      <c r="V26" s="11">
        <f>IF(ISBLANK(Calculate_Technical_Metadata___Column[[#This Row],[Nullable]])=TRUE, 0, 1)</f>
        <v>1</v>
      </c>
      <c r="W26" s="11">
        <f>IF(ISBLANK(Calculate_Technical_Metadata___Column[[#This Row],[Updated Date ]])=TRUE, 0, 1)</f>
        <v>1</v>
      </c>
      <c r="X26" s="11">
        <f>IF(ISBLANK(Calculate_Technical_Metadata___Column[[#This Row],[Updated By]])=TRUE, 0, 1)</f>
        <v>1</v>
      </c>
      <c r="Z26">
        <f>IF(COUNTIFS('Cal_Technical - Data Set'!A:A, Calculate_Technical_Metadata___Column[[#This Row],[Data Set Name]]) &gt; 0, 1,0)</f>
        <v>1</v>
      </c>
      <c r="AB26">
        <f>IF( COUNTIFS(C:C, Calculate_Technical_Metadata___Column[[#This Row],[Data Set Name]], D:D, Calculate_Technical_Metadata___Column[[#This Row],[Column Name]], A:A, Calculate_Technical_Metadata___Column[[#This Row],[System/Data Subject Area Name]], B:B, Calculate_Technical_Metadata___Column[[#This Row],[Schema/Database Name]]) &lt;&gt; 1, 0, 1)</f>
        <v>1</v>
      </c>
      <c r="AD26" s="11">
        <f>IF(ISERROR(FIND("  ",Calculate_Technical_Metadata___Column[[#This Row],[System/Data Subject Area Name]], 1))=TRUE, 1, 0)</f>
        <v>1</v>
      </c>
      <c r="AE26" s="11">
        <f>IF(ISERROR(FIND(" ",Calculate_Technical_Metadata___Column[[#This Row],[Schema/Database Name]], 1))=TRUE, 1, 0)</f>
        <v>1</v>
      </c>
      <c r="AF26" s="11">
        <f>IF(OR(ISERROR(FIND(" ",Calculate_Technical_Metadata___Column[[#This Row],[Data Set Name]], 1))=TRUE, ISERROR(FIND("__",Calculate_Technical_Metadata___Column[[#This Row],[Data Set Name]], 1))=TRUE)=TRUE, 1, 0)</f>
        <v>1</v>
      </c>
      <c r="AG26" s="11">
        <f>IF(ISERROR(FIND(" ",Calculate_Technical_Metadata___Column[[#This Row],[Column Name]], 1))=TRUE, 1, 0)</f>
        <v>1</v>
      </c>
      <c r="AH26" s="11">
        <f>IF(ISERROR(FIND("  ",Calculate_Technical_Metadata___Column[[#This Row],[Updated By]], 1))=TRUE, 1, 0)</f>
        <v>1</v>
      </c>
      <c r="AJ26">
        <f>IF(OR(Calculate_Technical_Metadata___Column[[#This Row],[Data Zone (MDZ/GDZ)]]="GDZ",Calculate_Technical_Metadata___Column[[#This Row],[Data Zone (MDZ/GDZ)]]= "MDZ",Calculate_Technical_Metadata___Column[[#This Row],[Data Zone (MDZ/GDZ)]]= "INVX Data Lake")=TRUE, 1, 0)</f>
        <v>1</v>
      </c>
      <c r="AK26" s="11">
        <f>IF(OR(Calculate_Technical_Metadata___Column[[#This Row],[PII/Non-PII]]="PII",Calculate_Technical_Metadata___Column[[#This Row],[PII/Non-PII]]= "Non-PII")=TRUE, 1, 0)</f>
        <v>1</v>
      </c>
      <c r="AL26" s="11" t="str">
        <f xml:space="preserve"> IF(ISERROR(FIND("(",Calculate_Technical_Metadata___Column[[#This Row],[Type]], 1)) = FALSE, _xlfn.TEXTBEFORE(Calculate_Technical_Metadata___Column[[#This Row],[Type]], "("),Calculate_Technical_Metadata___Column[[#This Row],[Type]])</f>
        <v>decimal</v>
      </c>
      <c r="AM26" s="11">
        <f>IF(COUNTIF(Type!A:A,Calculate_Technical_Metadata___Column[[#This Row],[Type]]) &gt; 0, 1, 0)</f>
        <v>1</v>
      </c>
      <c r="AN26" s="13">
        <f>IF(OR(Calculate_Technical_Metadata___Column[[#This Row],[Nullable]]="Yes",Calculate_Technical_Metadata___Column[[#This Row],[Nullable]]="No")=TRUE, 1, 0)</f>
        <v>1</v>
      </c>
    </row>
    <row r="27" spans="1:40" x14ac:dyDescent="0.3">
      <c r="A27" s="73" t="s">
        <v>38</v>
      </c>
      <c r="B27" s="73" t="s">
        <v>39</v>
      </c>
      <c r="C27" s="73" t="s">
        <v>40</v>
      </c>
      <c r="D27" s="73" t="s">
        <v>91</v>
      </c>
      <c r="E27" t="s">
        <v>42</v>
      </c>
      <c r="F27" s="73" t="s">
        <v>43</v>
      </c>
      <c r="G27" s="73" t="s">
        <v>45</v>
      </c>
      <c r="H27" s="73" t="s">
        <v>92</v>
      </c>
      <c r="I27" t="s">
        <v>47</v>
      </c>
      <c r="J27" s="73" t="s">
        <v>52</v>
      </c>
      <c r="K27" s="71">
        <v>45264</v>
      </c>
      <c r="L27" s="73" t="s">
        <v>57</v>
      </c>
      <c r="N27" s="11">
        <f>IF(ISBLANK(Calculate_Technical_Metadata___Column[[#This Row],[System/Data Subject Area Name]])=TRUE, 0, 1)</f>
        <v>1</v>
      </c>
      <c r="O27" s="11">
        <f>IF(ISBLANK(Calculate_Technical_Metadata___Column[[#This Row],[Schema/Database Name]])=TRUE, 0, 1)</f>
        <v>1</v>
      </c>
      <c r="P27" s="11">
        <f>IF(ISBLANK(Calculate_Technical_Metadata___Column[[#This Row],[Data Set Name]])=TRUE, 0, 1)</f>
        <v>1</v>
      </c>
      <c r="Q27" s="11">
        <f>IF(ISBLANK(Calculate_Technical_Metadata___Column[[#This Row],[Column Name]])=TRUE, 0, 1)</f>
        <v>1</v>
      </c>
      <c r="R27" s="11">
        <f>IF(ISBLANK(Calculate_Technical_Metadata___Column[[#This Row],[Data Zone (MDZ/GDZ)]])=TRUE, 0, 1)</f>
        <v>1</v>
      </c>
      <c r="S27" s="11">
        <f>IF(ISBLANK(Calculate_Technical_Metadata___Column[[#This Row],[PII/Non-PII]])=TRUE, 0, 1)</f>
        <v>1</v>
      </c>
      <c r="T27" s="11">
        <f>IF(ISBLANK(Calculate_Technical_Metadata___Column[[#This Row],[Type]])=TRUE, 0, 1)</f>
        <v>1</v>
      </c>
      <c r="U27" s="11">
        <f>IF(ISBLANK(Calculate_Technical_Metadata___Column[[#This Row],[Format]])=TRUE, 0, 1)</f>
        <v>1</v>
      </c>
      <c r="V27" s="11">
        <f>IF(ISBLANK(Calculate_Technical_Metadata___Column[[#This Row],[Nullable]])=TRUE, 0, 1)</f>
        <v>1</v>
      </c>
      <c r="W27" s="11">
        <f>IF(ISBLANK(Calculate_Technical_Metadata___Column[[#This Row],[Updated Date ]])=TRUE, 0, 1)</f>
        <v>1</v>
      </c>
      <c r="X27" s="11">
        <f>IF(ISBLANK(Calculate_Technical_Metadata___Column[[#This Row],[Updated By]])=TRUE, 0, 1)</f>
        <v>1</v>
      </c>
      <c r="Z27">
        <f>IF(COUNTIFS('Cal_Technical - Data Set'!A:A, Calculate_Technical_Metadata___Column[[#This Row],[Data Set Name]]) &gt; 0, 1,0)</f>
        <v>1</v>
      </c>
      <c r="AB27">
        <f>IF( COUNTIFS(C:C, Calculate_Technical_Metadata___Column[[#This Row],[Data Set Name]], D:D, Calculate_Technical_Metadata___Column[[#This Row],[Column Name]], A:A, Calculate_Technical_Metadata___Column[[#This Row],[System/Data Subject Area Name]], B:B, Calculate_Technical_Metadata___Column[[#This Row],[Schema/Database Name]]) &lt;&gt; 1, 0, 1)</f>
        <v>1</v>
      </c>
      <c r="AD27" s="11">
        <f>IF(ISERROR(FIND("  ",Calculate_Technical_Metadata___Column[[#This Row],[System/Data Subject Area Name]], 1))=TRUE, 1, 0)</f>
        <v>1</v>
      </c>
      <c r="AE27" s="11">
        <f>IF(ISERROR(FIND(" ",Calculate_Technical_Metadata___Column[[#This Row],[Schema/Database Name]], 1))=TRUE, 1, 0)</f>
        <v>1</v>
      </c>
      <c r="AF27" s="11">
        <f>IF(OR(ISERROR(FIND(" ",Calculate_Technical_Metadata___Column[[#This Row],[Data Set Name]], 1))=TRUE, ISERROR(FIND("__",Calculate_Technical_Metadata___Column[[#This Row],[Data Set Name]], 1))=TRUE)=TRUE, 1, 0)</f>
        <v>1</v>
      </c>
      <c r="AG27" s="11">
        <f>IF(ISERROR(FIND(" ",Calculate_Technical_Metadata___Column[[#This Row],[Column Name]], 1))=TRUE, 1, 0)</f>
        <v>1</v>
      </c>
      <c r="AH27" s="11">
        <f>IF(ISERROR(FIND("  ",Calculate_Technical_Metadata___Column[[#This Row],[Updated By]], 1))=TRUE, 1, 0)</f>
        <v>1</v>
      </c>
      <c r="AJ27">
        <f>IF(OR(Calculate_Technical_Metadata___Column[[#This Row],[Data Zone (MDZ/GDZ)]]="GDZ",Calculate_Technical_Metadata___Column[[#This Row],[Data Zone (MDZ/GDZ)]]= "MDZ",Calculate_Technical_Metadata___Column[[#This Row],[Data Zone (MDZ/GDZ)]]= "INVX Data Lake")=TRUE, 1, 0)</f>
        <v>1</v>
      </c>
      <c r="AK27" s="11">
        <f>IF(OR(Calculate_Technical_Metadata___Column[[#This Row],[PII/Non-PII]]="PII",Calculate_Technical_Metadata___Column[[#This Row],[PII/Non-PII]]= "Non-PII")=TRUE, 1, 0)</f>
        <v>1</v>
      </c>
      <c r="AL27" s="11" t="str">
        <f xml:space="preserve"> IF(ISERROR(FIND("(",Calculate_Technical_Metadata___Column[[#This Row],[Type]], 1)) = FALSE, _xlfn.TEXTBEFORE(Calculate_Technical_Metadata___Column[[#This Row],[Type]], "("),Calculate_Technical_Metadata___Column[[#This Row],[Type]])</f>
        <v>string</v>
      </c>
      <c r="AM27" s="11">
        <f>IF(COUNTIF(Type!A:A,Calculate_Technical_Metadata___Column[[#This Row],[Type]]) &gt; 0, 1, 0)</f>
        <v>1</v>
      </c>
      <c r="AN27" s="13">
        <f>IF(OR(Calculate_Technical_Metadata___Column[[#This Row],[Nullable]]="Yes",Calculate_Technical_Metadata___Column[[#This Row],[Nullable]]="No")=TRUE, 1, 0)</f>
        <v>1</v>
      </c>
    </row>
    <row r="28" spans="1:40" x14ac:dyDescent="0.3">
      <c r="A28" s="73" t="s">
        <v>38</v>
      </c>
      <c r="B28" s="73" t="s">
        <v>39</v>
      </c>
      <c r="C28" s="73" t="s">
        <v>40</v>
      </c>
      <c r="D28" s="73" t="s">
        <v>93</v>
      </c>
      <c r="E28" t="s">
        <v>42</v>
      </c>
      <c r="F28" s="73" t="s">
        <v>43</v>
      </c>
      <c r="G28" s="73" t="s">
        <v>346</v>
      </c>
      <c r="H28" s="73" t="s">
        <v>89</v>
      </c>
      <c r="I28" t="s">
        <v>90</v>
      </c>
      <c r="J28" s="73" t="s">
        <v>52</v>
      </c>
      <c r="K28" s="71">
        <v>45300</v>
      </c>
      <c r="L28" s="73" t="s">
        <v>49</v>
      </c>
      <c r="N28" s="11">
        <f>IF(ISBLANK(Calculate_Technical_Metadata___Column[[#This Row],[System/Data Subject Area Name]])=TRUE, 0, 1)</f>
        <v>1</v>
      </c>
      <c r="O28" s="11">
        <f>IF(ISBLANK(Calculate_Technical_Metadata___Column[[#This Row],[Schema/Database Name]])=TRUE, 0, 1)</f>
        <v>1</v>
      </c>
      <c r="P28" s="11">
        <f>IF(ISBLANK(Calculate_Technical_Metadata___Column[[#This Row],[Data Set Name]])=TRUE, 0, 1)</f>
        <v>1</v>
      </c>
      <c r="Q28" s="11">
        <f>IF(ISBLANK(Calculate_Technical_Metadata___Column[[#This Row],[Column Name]])=TRUE, 0, 1)</f>
        <v>1</v>
      </c>
      <c r="R28" s="11">
        <f>IF(ISBLANK(Calculate_Technical_Metadata___Column[[#This Row],[Data Zone (MDZ/GDZ)]])=TRUE, 0, 1)</f>
        <v>1</v>
      </c>
      <c r="S28" s="11">
        <f>IF(ISBLANK(Calculate_Technical_Metadata___Column[[#This Row],[PII/Non-PII]])=TRUE, 0, 1)</f>
        <v>1</v>
      </c>
      <c r="T28" s="11">
        <f>IF(ISBLANK(Calculate_Technical_Metadata___Column[[#This Row],[Type]])=TRUE, 0, 1)</f>
        <v>1</v>
      </c>
      <c r="U28" s="11">
        <f>IF(ISBLANK(Calculate_Technical_Metadata___Column[[#This Row],[Format]])=TRUE, 0, 1)</f>
        <v>1</v>
      </c>
      <c r="V28" s="11">
        <f>IF(ISBLANK(Calculate_Technical_Metadata___Column[[#This Row],[Nullable]])=TRUE, 0, 1)</f>
        <v>1</v>
      </c>
      <c r="W28" s="11">
        <f>IF(ISBLANK(Calculate_Technical_Metadata___Column[[#This Row],[Updated Date ]])=TRUE, 0, 1)</f>
        <v>1</v>
      </c>
      <c r="X28" s="11">
        <f>IF(ISBLANK(Calculate_Technical_Metadata___Column[[#This Row],[Updated By]])=TRUE, 0, 1)</f>
        <v>1</v>
      </c>
      <c r="Z28">
        <f>IF(COUNTIFS('Cal_Technical - Data Set'!A:A, Calculate_Technical_Metadata___Column[[#This Row],[Data Set Name]]) &gt; 0, 1,0)</f>
        <v>1</v>
      </c>
      <c r="AB28">
        <f>IF( COUNTIFS(C:C, Calculate_Technical_Metadata___Column[[#This Row],[Data Set Name]], D:D, Calculate_Technical_Metadata___Column[[#This Row],[Column Name]], A:A, Calculate_Technical_Metadata___Column[[#This Row],[System/Data Subject Area Name]], B:B, Calculate_Technical_Metadata___Column[[#This Row],[Schema/Database Name]]) &lt;&gt; 1, 0, 1)</f>
        <v>1</v>
      </c>
      <c r="AD28" s="11">
        <f>IF(ISERROR(FIND("  ",Calculate_Technical_Metadata___Column[[#This Row],[System/Data Subject Area Name]], 1))=TRUE, 1, 0)</f>
        <v>1</v>
      </c>
      <c r="AE28" s="11">
        <f>IF(ISERROR(FIND(" ",Calculate_Technical_Metadata___Column[[#This Row],[Schema/Database Name]], 1))=TRUE, 1, 0)</f>
        <v>1</v>
      </c>
      <c r="AF28" s="11">
        <f>IF(OR(ISERROR(FIND(" ",Calculate_Technical_Metadata___Column[[#This Row],[Data Set Name]], 1))=TRUE, ISERROR(FIND("__",Calculate_Technical_Metadata___Column[[#This Row],[Data Set Name]], 1))=TRUE)=TRUE, 1, 0)</f>
        <v>1</v>
      </c>
      <c r="AG28" s="11">
        <f>IF(ISERROR(FIND(" ",Calculate_Technical_Metadata___Column[[#This Row],[Column Name]], 1))=TRUE, 1, 0)</f>
        <v>1</v>
      </c>
      <c r="AH28" s="11">
        <f>IF(ISERROR(FIND("  ",Calculate_Technical_Metadata___Column[[#This Row],[Updated By]], 1))=TRUE, 1, 0)</f>
        <v>1</v>
      </c>
      <c r="AJ28">
        <f>IF(OR(Calculate_Technical_Metadata___Column[[#This Row],[Data Zone (MDZ/GDZ)]]="GDZ",Calculate_Technical_Metadata___Column[[#This Row],[Data Zone (MDZ/GDZ)]]= "MDZ",Calculate_Technical_Metadata___Column[[#This Row],[Data Zone (MDZ/GDZ)]]= "INVX Data Lake")=TRUE, 1, 0)</f>
        <v>1</v>
      </c>
      <c r="AK28" s="11">
        <f>IF(OR(Calculate_Technical_Metadata___Column[[#This Row],[PII/Non-PII]]="PII",Calculate_Technical_Metadata___Column[[#This Row],[PII/Non-PII]]= "Non-PII")=TRUE, 1, 0)</f>
        <v>1</v>
      </c>
      <c r="AL28" s="11" t="str">
        <f xml:space="preserve"> IF(ISERROR(FIND("(",Calculate_Technical_Metadata___Column[[#This Row],[Type]], 1)) = FALSE, _xlfn.TEXTBEFORE(Calculate_Technical_Metadata___Column[[#This Row],[Type]], "("),Calculate_Technical_Metadata___Column[[#This Row],[Type]])</f>
        <v>decimal</v>
      </c>
      <c r="AM28" s="11">
        <f>IF(COUNTIF(Type!A:A,Calculate_Technical_Metadata___Column[[#This Row],[Type]]) &gt; 0, 1, 0)</f>
        <v>1</v>
      </c>
      <c r="AN28" s="13">
        <f>IF(OR(Calculate_Technical_Metadata___Column[[#This Row],[Nullable]]="Yes",Calculate_Technical_Metadata___Column[[#This Row],[Nullable]]="No")=TRUE, 1, 0)</f>
        <v>1</v>
      </c>
    </row>
    <row r="29" spans="1:40" x14ac:dyDescent="0.3">
      <c r="A29" s="73" t="s">
        <v>38</v>
      </c>
      <c r="B29" s="73" t="s">
        <v>39</v>
      </c>
      <c r="C29" s="73" t="s">
        <v>40</v>
      </c>
      <c r="D29" s="73" t="s">
        <v>94</v>
      </c>
      <c r="E29" t="s">
        <v>42</v>
      </c>
      <c r="F29" s="73" t="s">
        <v>43</v>
      </c>
      <c r="G29" s="73" t="s">
        <v>346</v>
      </c>
      <c r="H29" s="73" t="s">
        <v>89</v>
      </c>
      <c r="I29" t="s">
        <v>90</v>
      </c>
      <c r="J29" s="73" t="s">
        <v>52</v>
      </c>
      <c r="K29" s="71">
        <v>45300</v>
      </c>
      <c r="L29" s="73" t="s">
        <v>49</v>
      </c>
      <c r="N29" s="11">
        <f>IF(ISBLANK(Calculate_Technical_Metadata___Column[[#This Row],[System/Data Subject Area Name]])=TRUE, 0, 1)</f>
        <v>1</v>
      </c>
      <c r="O29" s="11">
        <f>IF(ISBLANK(Calculate_Technical_Metadata___Column[[#This Row],[Schema/Database Name]])=TRUE, 0, 1)</f>
        <v>1</v>
      </c>
      <c r="P29" s="11">
        <f>IF(ISBLANK(Calculate_Technical_Metadata___Column[[#This Row],[Data Set Name]])=TRUE, 0, 1)</f>
        <v>1</v>
      </c>
      <c r="Q29" s="11">
        <f>IF(ISBLANK(Calculate_Technical_Metadata___Column[[#This Row],[Column Name]])=TRUE, 0, 1)</f>
        <v>1</v>
      </c>
      <c r="R29" s="11">
        <f>IF(ISBLANK(Calculate_Technical_Metadata___Column[[#This Row],[Data Zone (MDZ/GDZ)]])=TRUE, 0, 1)</f>
        <v>1</v>
      </c>
      <c r="S29" s="11">
        <f>IF(ISBLANK(Calculate_Technical_Metadata___Column[[#This Row],[PII/Non-PII]])=TRUE, 0, 1)</f>
        <v>1</v>
      </c>
      <c r="T29" s="11">
        <f>IF(ISBLANK(Calculate_Technical_Metadata___Column[[#This Row],[Type]])=TRUE, 0, 1)</f>
        <v>1</v>
      </c>
      <c r="U29" s="11">
        <f>IF(ISBLANK(Calculate_Technical_Metadata___Column[[#This Row],[Format]])=TRUE, 0, 1)</f>
        <v>1</v>
      </c>
      <c r="V29" s="11">
        <f>IF(ISBLANK(Calculate_Technical_Metadata___Column[[#This Row],[Nullable]])=TRUE, 0, 1)</f>
        <v>1</v>
      </c>
      <c r="W29" s="11">
        <f>IF(ISBLANK(Calculate_Technical_Metadata___Column[[#This Row],[Updated Date ]])=TRUE, 0, 1)</f>
        <v>1</v>
      </c>
      <c r="X29" s="11">
        <f>IF(ISBLANK(Calculate_Technical_Metadata___Column[[#This Row],[Updated By]])=TRUE, 0, 1)</f>
        <v>1</v>
      </c>
      <c r="Z29">
        <f>IF(COUNTIFS('Cal_Technical - Data Set'!A:A, Calculate_Technical_Metadata___Column[[#This Row],[Data Set Name]]) &gt; 0, 1,0)</f>
        <v>1</v>
      </c>
      <c r="AB29">
        <f>IF( COUNTIFS(C:C, Calculate_Technical_Metadata___Column[[#This Row],[Data Set Name]], D:D, Calculate_Technical_Metadata___Column[[#This Row],[Column Name]], A:A, Calculate_Technical_Metadata___Column[[#This Row],[System/Data Subject Area Name]], B:B, Calculate_Technical_Metadata___Column[[#This Row],[Schema/Database Name]]) &lt;&gt; 1, 0, 1)</f>
        <v>1</v>
      </c>
      <c r="AD29" s="11">
        <f>IF(ISERROR(FIND("  ",Calculate_Technical_Metadata___Column[[#This Row],[System/Data Subject Area Name]], 1))=TRUE, 1, 0)</f>
        <v>1</v>
      </c>
      <c r="AE29" s="11">
        <f>IF(ISERROR(FIND(" ",Calculate_Technical_Metadata___Column[[#This Row],[Schema/Database Name]], 1))=TRUE, 1, 0)</f>
        <v>1</v>
      </c>
      <c r="AF29" s="11">
        <f>IF(OR(ISERROR(FIND(" ",Calculate_Technical_Metadata___Column[[#This Row],[Data Set Name]], 1))=TRUE, ISERROR(FIND("__",Calculate_Technical_Metadata___Column[[#This Row],[Data Set Name]], 1))=TRUE)=TRUE, 1, 0)</f>
        <v>1</v>
      </c>
      <c r="AG29" s="11">
        <f>IF(ISERROR(FIND(" ",Calculate_Technical_Metadata___Column[[#This Row],[Column Name]], 1))=TRUE, 1, 0)</f>
        <v>1</v>
      </c>
      <c r="AH29" s="11">
        <f>IF(ISERROR(FIND("  ",Calculate_Technical_Metadata___Column[[#This Row],[Updated By]], 1))=TRUE, 1, 0)</f>
        <v>1</v>
      </c>
      <c r="AJ29">
        <f>IF(OR(Calculate_Technical_Metadata___Column[[#This Row],[Data Zone (MDZ/GDZ)]]="GDZ",Calculate_Technical_Metadata___Column[[#This Row],[Data Zone (MDZ/GDZ)]]= "MDZ",Calculate_Technical_Metadata___Column[[#This Row],[Data Zone (MDZ/GDZ)]]= "INVX Data Lake")=TRUE, 1, 0)</f>
        <v>1</v>
      </c>
      <c r="AK29" s="11">
        <f>IF(OR(Calculate_Technical_Metadata___Column[[#This Row],[PII/Non-PII]]="PII",Calculate_Technical_Metadata___Column[[#This Row],[PII/Non-PII]]= "Non-PII")=TRUE, 1, 0)</f>
        <v>1</v>
      </c>
      <c r="AL29" s="11" t="str">
        <f xml:space="preserve"> IF(ISERROR(FIND("(",Calculate_Technical_Metadata___Column[[#This Row],[Type]], 1)) = FALSE, _xlfn.TEXTBEFORE(Calculate_Technical_Metadata___Column[[#This Row],[Type]], "("),Calculate_Technical_Metadata___Column[[#This Row],[Type]])</f>
        <v>decimal</v>
      </c>
      <c r="AM29" s="11">
        <f>IF(COUNTIF(Type!A:A,Calculate_Technical_Metadata___Column[[#This Row],[Type]]) &gt; 0, 1, 0)</f>
        <v>1</v>
      </c>
      <c r="AN29" s="13">
        <f>IF(OR(Calculate_Technical_Metadata___Column[[#This Row],[Nullable]]="Yes",Calculate_Technical_Metadata___Column[[#This Row],[Nullable]]="No")=TRUE, 1, 0)</f>
        <v>1</v>
      </c>
    </row>
    <row r="30" spans="1:40" x14ac:dyDescent="0.3">
      <c r="A30" s="73" t="s">
        <v>38</v>
      </c>
      <c r="B30" s="73" t="s">
        <v>39</v>
      </c>
      <c r="C30" s="73" t="s">
        <v>40</v>
      </c>
      <c r="D30" s="73" t="s">
        <v>95</v>
      </c>
      <c r="E30" t="s">
        <v>42</v>
      </c>
      <c r="F30" s="73" t="s">
        <v>43</v>
      </c>
      <c r="G30" s="73" t="s">
        <v>76</v>
      </c>
      <c r="H30" s="73" t="s">
        <v>55</v>
      </c>
      <c r="I30" t="s">
        <v>47</v>
      </c>
      <c r="J30" s="73" t="s">
        <v>52</v>
      </c>
      <c r="K30" s="71">
        <v>45264</v>
      </c>
      <c r="L30" s="73" t="s">
        <v>57</v>
      </c>
      <c r="N30" s="11">
        <f>IF(ISBLANK(Calculate_Technical_Metadata___Column[[#This Row],[System/Data Subject Area Name]])=TRUE, 0, 1)</f>
        <v>1</v>
      </c>
      <c r="O30" s="11">
        <f>IF(ISBLANK(Calculate_Technical_Metadata___Column[[#This Row],[Schema/Database Name]])=TRUE, 0, 1)</f>
        <v>1</v>
      </c>
      <c r="P30" s="11">
        <f>IF(ISBLANK(Calculate_Technical_Metadata___Column[[#This Row],[Data Set Name]])=TRUE, 0, 1)</f>
        <v>1</v>
      </c>
      <c r="Q30" s="11">
        <f>IF(ISBLANK(Calculate_Technical_Metadata___Column[[#This Row],[Column Name]])=TRUE, 0, 1)</f>
        <v>1</v>
      </c>
      <c r="R30" s="11">
        <f>IF(ISBLANK(Calculate_Technical_Metadata___Column[[#This Row],[Data Zone (MDZ/GDZ)]])=TRUE, 0, 1)</f>
        <v>1</v>
      </c>
      <c r="S30" s="11">
        <f>IF(ISBLANK(Calculate_Technical_Metadata___Column[[#This Row],[PII/Non-PII]])=TRUE, 0, 1)</f>
        <v>1</v>
      </c>
      <c r="T30" s="11">
        <f>IF(ISBLANK(Calculate_Technical_Metadata___Column[[#This Row],[Type]])=TRUE, 0, 1)</f>
        <v>1</v>
      </c>
      <c r="U30" s="11">
        <f>IF(ISBLANK(Calculate_Technical_Metadata___Column[[#This Row],[Format]])=TRUE, 0, 1)</f>
        <v>1</v>
      </c>
      <c r="V30" s="11">
        <f>IF(ISBLANK(Calculate_Technical_Metadata___Column[[#This Row],[Nullable]])=TRUE, 0, 1)</f>
        <v>1</v>
      </c>
      <c r="W30" s="11">
        <f>IF(ISBLANK(Calculate_Technical_Metadata___Column[[#This Row],[Updated Date ]])=TRUE, 0, 1)</f>
        <v>1</v>
      </c>
      <c r="X30" s="11">
        <f>IF(ISBLANK(Calculate_Technical_Metadata___Column[[#This Row],[Updated By]])=TRUE, 0, 1)</f>
        <v>1</v>
      </c>
      <c r="Z30">
        <f>IF(COUNTIFS('Cal_Technical - Data Set'!A:A, Calculate_Technical_Metadata___Column[[#This Row],[Data Set Name]]) &gt; 0, 1,0)</f>
        <v>1</v>
      </c>
      <c r="AB30">
        <f>IF( COUNTIFS(C:C, Calculate_Technical_Metadata___Column[[#This Row],[Data Set Name]], D:D, Calculate_Technical_Metadata___Column[[#This Row],[Column Name]], A:A, Calculate_Technical_Metadata___Column[[#This Row],[System/Data Subject Area Name]], B:B, Calculate_Technical_Metadata___Column[[#This Row],[Schema/Database Name]]) &lt;&gt; 1, 0, 1)</f>
        <v>1</v>
      </c>
      <c r="AD30" s="11">
        <f>IF(ISERROR(FIND("  ",Calculate_Technical_Metadata___Column[[#This Row],[System/Data Subject Area Name]], 1))=TRUE, 1, 0)</f>
        <v>1</v>
      </c>
      <c r="AE30" s="11">
        <f>IF(ISERROR(FIND(" ",Calculate_Technical_Metadata___Column[[#This Row],[Schema/Database Name]], 1))=TRUE, 1, 0)</f>
        <v>1</v>
      </c>
      <c r="AF30" s="11">
        <f>IF(OR(ISERROR(FIND(" ",Calculate_Technical_Metadata___Column[[#This Row],[Data Set Name]], 1))=TRUE, ISERROR(FIND("__",Calculate_Technical_Metadata___Column[[#This Row],[Data Set Name]], 1))=TRUE)=TRUE, 1, 0)</f>
        <v>1</v>
      </c>
      <c r="AG30" s="11">
        <f>IF(ISERROR(FIND(" ",Calculate_Technical_Metadata___Column[[#This Row],[Column Name]], 1))=TRUE, 1, 0)</f>
        <v>1</v>
      </c>
      <c r="AH30" s="11">
        <f>IF(ISERROR(FIND("  ",Calculate_Technical_Metadata___Column[[#This Row],[Updated By]], 1))=TRUE, 1, 0)</f>
        <v>1</v>
      </c>
      <c r="AJ30">
        <f>IF(OR(Calculate_Technical_Metadata___Column[[#This Row],[Data Zone (MDZ/GDZ)]]="GDZ",Calculate_Technical_Metadata___Column[[#This Row],[Data Zone (MDZ/GDZ)]]= "MDZ",Calculate_Technical_Metadata___Column[[#This Row],[Data Zone (MDZ/GDZ)]]= "INVX Data Lake")=TRUE, 1, 0)</f>
        <v>1</v>
      </c>
      <c r="AK30" s="11">
        <f>IF(OR(Calculate_Technical_Metadata___Column[[#This Row],[PII/Non-PII]]="PII",Calculate_Technical_Metadata___Column[[#This Row],[PII/Non-PII]]= "Non-PII")=TRUE, 1, 0)</f>
        <v>1</v>
      </c>
      <c r="AL30" s="11" t="str">
        <f xml:space="preserve"> IF(ISERROR(FIND("(",Calculate_Technical_Metadata___Column[[#This Row],[Type]], 1)) = FALSE, _xlfn.TEXTBEFORE(Calculate_Technical_Metadata___Column[[#This Row],[Type]], "("),Calculate_Technical_Metadata___Column[[#This Row],[Type]])</f>
        <v>integer</v>
      </c>
      <c r="AM30" s="11">
        <f>IF(COUNTIF(Type!A:A,Calculate_Technical_Metadata___Column[[#This Row],[Type]]) &gt; 0, 1, 0)</f>
        <v>1</v>
      </c>
      <c r="AN30" s="13">
        <f>IF(OR(Calculate_Technical_Metadata___Column[[#This Row],[Nullable]]="Yes",Calculate_Technical_Metadata___Column[[#This Row],[Nullable]]="No")=TRUE, 1, 0)</f>
        <v>1</v>
      </c>
    </row>
    <row r="31" spans="1:40" x14ac:dyDescent="0.3">
      <c r="A31" s="73" t="s">
        <v>38</v>
      </c>
      <c r="B31" s="73" t="s">
        <v>39</v>
      </c>
      <c r="C31" s="73" t="s">
        <v>40</v>
      </c>
      <c r="D31" s="73" t="s">
        <v>96</v>
      </c>
      <c r="E31" t="s">
        <v>42</v>
      </c>
      <c r="F31" s="73" t="s">
        <v>43</v>
      </c>
      <c r="G31" s="73" t="s">
        <v>59</v>
      </c>
      <c r="H31" s="73" t="s">
        <v>60</v>
      </c>
      <c r="I31" t="s">
        <v>47</v>
      </c>
      <c r="J31" s="73" t="s">
        <v>52</v>
      </c>
      <c r="K31" s="71">
        <v>45264</v>
      </c>
      <c r="L31" s="73" t="s">
        <v>57</v>
      </c>
      <c r="N31" s="11">
        <f>IF(ISBLANK(Calculate_Technical_Metadata___Column[[#This Row],[System/Data Subject Area Name]])=TRUE, 0, 1)</f>
        <v>1</v>
      </c>
      <c r="O31" s="11">
        <f>IF(ISBLANK(Calculate_Technical_Metadata___Column[[#This Row],[Schema/Database Name]])=TRUE, 0, 1)</f>
        <v>1</v>
      </c>
      <c r="P31" s="11">
        <f>IF(ISBLANK(Calculate_Technical_Metadata___Column[[#This Row],[Data Set Name]])=TRUE, 0, 1)</f>
        <v>1</v>
      </c>
      <c r="Q31" s="11">
        <f>IF(ISBLANK(Calculate_Technical_Metadata___Column[[#This Row],[Column Name]])=TRUE, 0, 1)</f>
        <v>1</v>
      </c>
      <c r="R31" s="11">
        <f>IF(ISBLANK(Calculate_Technical_Metadata___Column[[#This Row],[Data Zone (MDZ/GDZ)]])=TRUE, 0, 1)</f>
        <v>1</v>
      </c>
      <c r="S31" s="11">
        <f>IF(ISBLANK(Calculate_Technical_Metadata___Column[[#This Row],[PII/Non-PII]])=TRUE, 0, 1)</f>
        <v>1</v>
      </c>
      <c r="T31" s="11">
        <f>IF(ISBLANK(Calculate_Technical_Metadata___Column[[#This Row],[Type]])=TRUE, 0, 1)</f>
        <v>1</v>
      </c>
      <c r="U31" s="11">
        <f>IF(ISBLANK(Calculate_Technical_Metadata___Column[[#This Row],[Format]])=TRUE, 0, 1)</f>
        <v>1</v>
      </c>
      <c r="V31" s="11">
        <f>IF(ISBLANK(Calculate_Technical_Metadata___Column[[#This Row],[Nullable]])=TRUE, 0, 1)</f>
        <v>1</v>
      </c>
      <c r="W31" s="11">
        <f>IF(ISBLANK(Calculate_Technical_Metadata___Column[[#This Row],[Updated Date ]])=TRUE, 0, 1)</f>
        <v>1</v>
      </c>
      <c r="X31" s="11">
        <f>IF(ISBLANK(Calculate_Technical_Metadata___Column[[#This Row],[Updated By]])=TRUE, 0, 1)</f>
        <v>1</v>
      </c>
      <c r="Z31">
        <f>IF(COUNTIFS('Cal_Technical - Data Set'!A:A, Calculate_Technical_Metadata___Column[[#This Row],[Data Set Name]]) &gt; 0, 1,0)</f>
        <v>1</v>
      </c>
      <c r="AB31">
        <f>IF( COUNTIFS(C:C, Calculate_Technical_Metadata___Column[[#This Row],[Data Set Name]], D:D, Calculate_Technical_Metadata___Column[[#This Row],[Column Name]], A:A, Calculate_Technical_Metadata___Column[[#This Row],[System/Data Subject Area Name]], B:B, Calculate_Technical_Metadata___Column[[#This Row],[Schema/Database Name]]) &lt;&gt; 1, 0, 1)</f>
        <v>1</v>
      </c>
      <c r="AD31" s="11">
        <f>IF(ISERROR(FIND("  ",Calculate_Technical_Metadata___Column[[#This Row],[System/Data Subject Area Name]], 1))=TRUE, 1, 0)</f>
        <v>1</v>
      </c>
      <c r="AE31" s="11">
        <f>IF(ISERROR(FIND(" ",Calculate_Technical_Metadata___Column[[#This Row],[Schema/Database Name]], 1))=TRUE, 1, 0)</f>
        <v>1</v>
      </c>
      <c r="AF31" s="11">
        <f>IF(OR(ISERROR(FIND(" ",Calculate_Technical_Metadata___Column[[#This Row],[Data Set Name]], 1))=TRUE, ISERROR(FIND("__",Calculate_Technical_Metadata___Column[[#This Row],[Data Set Name]], 1))=TRUE)=TRUE, 1, 0)</f>
        <v>1</v>
      </c>
      <c r="AG31" s="11">
        <f>IF(ISERROR(FIND(" ",Calculate_Technical_Metadata___Column[[#This Row],[Column Name]], 1))=TRUE, 1, 0)</f>
        <v>1</v>
      </c>
      <c r="AH31" s="11">
        <f>IF(ISERROR(FIND("  ",Calculate_Technical_Metadata___Column[[#This Row],[Updated By]], 1))=TRUE, 1, 0)</f>
        <v>1</v>
      </c>
      <c r="AJ31">
        <f>IF(OR(Calculate_Technical_Metadata___Column[[#This Row],[Data Zone (MDZ/GDZ)]]="GDZ",Calculate_Technical_Metadata___Column[[#This Row],[Data Zone (MDZ/GDZ)]]= "MDZ",Calculate_Technical_Metadata___Column[[#This Row],[Data Zone (MDZ/GDZ)]]= "INVX Data Lake")=TRUE, 1, 0)</f>
        <v>1</v>
      </c>
      <c r="AK31" s="11">
        <f>IF(OR(Calculate_Technical_Metadata___Column[[#This Row],[PII/Non-PII]]="PII",Calculate_Technical_Metadata___Column[[#This Row],[PII/Non-PII]]= "Non-PII")=TRUE, 1, 0)</f>
        <v>1</v>
      </c>
      <c r="AL31" s="11" t="str">
        <f xml:space="preserve"> IF(ISERROR(FIND("(",Calculate_Technical_Metadata___Column[[#This Row],[Type]], 1)) = FALSE, _xlfn.TEXTBEFORE(Calculate_Technical_Metadata___Column[[#This Row],[Type]], "("),Calculate_Technical_Metadata___Column[[#This Row],[Type]])</f>
        <v>Date</v>
      </c>
      <c r="AM31" s="11">
        <f>IF(COUNTIF(Type!A:A,Calculate_Technical_Metadata___Column[[#This Row],[Type]]) &gt; 0, 1, 0)</f>
        <v>1</v>
      </c>
      <c r="AN31" s="13">
        <f>IF(OR(Calculate_Technical_Metadata___Column[[#This Row],[Nullable]]="Yes",Calculate_Technical_Metadata___Column[[#This Row],[Nullable]]="No")=TRUE, 1, 0)</f>
        <v>1</v>
      </c>
    </row>
    <row r="32" spans="1:40" x14ac:dyDescent="0.3">
      <c r="A32" s="73" t="s">
        <v>469</v>
      </c>
      <c r="B32" s="73" t="s">
        <v>39</v>
      </c>
      <c r="C32" s="73" t="s">
        <v>470</v>
      </c>
      <c r="D32" s="73" t="s">
        <v>471</v>
      </c>
      <c r="E32" t="s">
        <v>42</v>
      </c>
      <c r="F32" s="73" t="s">
        <v>54</v>
      </c>
      <c r="G32" s="73" t="s">
        <v>45</v>
      </c>
      <c r="H32" s="73" t="s">
        <v>472</v>
      </c>
      <c r="I32" t="s">
        <v>56</v>
      </c>
      <c r="J32" s="73" t="s">
        <v>48</v>
      </c>
      <c r="K32" s="71">
        <v>45372</v>
      </c>
      <c r="L32" s="73" t="s">
        <v>49</v>
      </c>
      <c r="N32" s="11">
        <f>IF(ISBLANK(Calculate_Technical_Metadata___Column[[#This Row],[System/Data Subject Area Name]])=TRUE, 0, 1)</f>
        <v>1</v>
      </c>
      <c r="O32" s="11">
        <f>IF(ISBLANK(Calculate_Technical_Metadata___Column[[#This Row],[Schema/Database Name]])=TRUE, 0, 1)</f>
        <v>1</v>
      </c>
      <c r="P32" s="11">
        <f>IF(ISBLANK(Calculate_Technical_Metadata___Column[[#This Row],[Data Set Name]])=TRUE, 0, 1)</f>
        <v>1</v>
      </c>
      <c r="Q32" s="11">
        <f>IF(ISBLANK(Calculate_Technical_Metadata___Column[[#This Row],[Column Name]])=TRUE, 0, 1)</f>
        <v>1</v>
      </c>
      <c r="R32" s="11">
        <f>IF(ISBLANK(Calculate_Technical_Metadata___Column[[#This Row],[Data Zone (MDZ/GDZ)]])=TRUE, 0, 1)</f>
        <v>1</v>
      </c>
      <c r="S32" s="11">
        <f>IF(ISBLANK(Calculate_Technical_Metadata___Column[[#This Row],[PII/Non-PII]])=TRUE, 0, 1)</f>
        <v>1</v>
      </c>
      <c r="T32" s="11">
        <f>IF(ISBLANK(Calculate_Technical_Metadata___Column[[#This Row],[Type]])=TRUE, 0, 1)</f>
        <v>1</v>
      </c>
      <c r="U32" s="11">
        <f>IF(ISBLANK(Calculate_Technical_Metadata___Column[[#This Row],[Format]])=TRUE, 0, 1)</f>
        <v>1</v>
      </c>
      <c r="V32" s="11">
        <f>IF(ISBLANK(Calculate_Technical_Metadata___Column[[#This Row],[Nullable]])=TRUE, 0, 1)</f>
        <v>1</v>
      </c>
      <c r="W32" s="11">
        <f>IF(ISBLANK(Calculate_Technical_Metadata___Column[[#This Row],[Updated Date ]])=TRUE, 0, 1)</f>
        <v>1</v>
      </c>
      <c r="X32" s="11">
        <f>IF(ISBLANK(Calculate_Technical_Metadata___Column[[#This Row],[Updated By]])=TRUE, 0, 1)</f>
        <v>1</v>
      </c>
      <c r="Z32">
        <f>IF(COUNTIFS('Cal_Technical - Data Set'!A:A, Calculate_Technical_Metadata___Column[[#This Row],[Data Set Name]]) &gt; 0, 1,0)</f>
        <v>1</v>
      </c>
      <c r="AB32">
        <f>IF( COUNTIFS(C:C, Calculate_Technical_Metadata___Column[[#This Row],[Data Set Name]], D:D, Calculate_Technical_Metadata___Column[[#This Row],[Column Name]], A:A, Calculate_Technical_Metadata___Column[[#This Row],[System/Data Subject Area Name]], B:B, Calculate_Technical_Metadata___Column[[#This Row],[Schema/Database Name]]) &lt;&gt; 1, 0, 1)</f>
        <v>1</v>
      </c>
      <c r="AD32" s="11">
        <f>IF(ISERROR(FIND("  ",Calculate_Technical_Metadata___Column[[#This Row],[System/Data Subject Area Name]], 1))=TRUE, 1, 0)</f>
        <v>1</v>
      </c>
      <c r="AE32" s="11">
        <f>IF(ISERROR(FIND(" ",Calculate_Technical_Metadata___Column[[#This Row],[Schema/Database Name]], 1))=TRUE, 1, 0)</f>
        <v>1</v>
      </c>
      <c r="AF32" s="11">
        <f>IF(OR(ISERROR(FIND(" ",Calculate_Technical_Metadata___Column[[#This Row],[Data Set Name]], 1))=TRUE, ISERROR(FIND("__",Calculate_Technical_Metadata___Column[[#This Row],[Data Set Name]], 1))=TRUE)=TRUE, 1, 0)</f>
        <v>1</v>
      </c>
      <c r="AG32" s="11">
        <f>IF(ISERROR(FIND(" ",Calculate_Technical_Metadata___Column[[#This Row],[Column Name]], 1))=TRUE, 1, 0)</f>
        <v>1</v>
      </c>
      <c r="AH32" s="11">
        <f>IF(ISERROR(FIND("  ",Calculate_Technical_Metadata___Column[[#This Row],[Updated By]], 1))=TRUE, 1, 0)</f>
        <v>1</v>
      </c>
      <c r="AJ32">
        <f>IF(OR(Calculate_Technical_Metadata___Column[[#This Row],[Data Zone (MDZ/GDZ)]]="GDZ",Calculate_Technical_Metadata___Column[[#This Row],[Data Zone (MDZ/GDZ)]]= "MDZ",Calculate_Technical_Metadata___Column[[#This Row],[Data Zone (MDZ/GDZ)]]= "INVX Data Lake")=TRUE, 1, 0)</f>
        <v>1</v>
      </c>
      <c r="AK32" s="11">
        <f>IF(OR(Calculate_Technical_Metadata___Column[[#This Row],[PII/Non-PII]]="PII",Calculate_Technical_Metadata___Column[[#This Row],[PII/Non-PII]]= "Non-PII")=TRUE, 1, 0)</f>
        <v>1</v>
      </c>
      <c r="AL32" s="11" t="str">
        <f xml:space="preserve"> IF(ISERROR(FIND("(",Calculate_Technical_Metadata___Column[[#This Row],[Type]], 1)) = FALSE, _xlfn.TEXTBEFORE(Calculate_Technical_Metadata___Column[[#This Row],[Type]], "("),Calculate_Technical_Metadata___Column[[#This Row],[Type]])</f>
        <v>string</v>
      </c>
      <c r="AM32" s="11">
        <f>IF(COUNTIF(Type!A:A,Calculate_Technical_Metadata___Column[[#This Row],[Type]]) &gt; 0, 1, 0)</f>
        <v>1</v>
      </c>
      <c r="AN32" s="13">
        <f>IF(OR(Calculate_Technical_Metadata___Column[[#This Row],[Nullable]]="Yes",Calculate_Technical_Metadata___Column[[#This Row],[Nullable]]="No")=TRUE, 1, 0)</f>
        <v>1</v>
      </c>
    </row>
    <row r="33" spans="1:40" x14ac:dyDescent="0.3">
      <c r="A33" s="73" t="s">
        <v>469</v>
      </c>
      <c r="B33" s="73" t="s">
        <v>39</v>
      </c>
      <c r="C33" s="73" t="s">
        <v>470</v>
      </c>
      <c r="D33" s="73" t="s">
        <v>473</v>
      </c>
      <c r="E33" t="s">
        <v>42</v>
      </c>
      <c r="F33" s="73" t="s">
        <v>54</v>
      </c>
      <c r="G33" s="73" t="s">
        <v>45</v>
      </c>
      <c r="H33" s="73" t="s">
        <v>55</v>
      </c>
      <c r="I33" t="s">
        <v>47</v>
      </c>
      <c r="J33" s="73" t="s">
        <v>48</v>
      </c>
      <c r="K33" s="71">
        <v>45372</v>
      </c>
      <c r="L33" s="73" t="s">
        <v>49</v>
      </c>
      <c r="N33" s="11">
        <f>IF(ISBLANK(Calculate_Technical_Metadata___Column[[#This Row],[System/Data Subject Area Name]])=TRUE, 0, 1)</f>
        <v>1</v>
      </c>
      <c r="O33" s="11">
        <f>IF(ISBLANK(Calculate_Technical_Metadata___Column[[#This Row],[Schema/Database Name]])=TRUE, 0, 1)</f>
        <v>1</v>
      </c>
      <c r="P33" s="11">
        <f>IF(ISBLANK(Calculate_Technical_Metadata___Column[[#This Row],[Data Set Name]])=TRUE, 0, 1)</f>
        <v>1</v>
      </c>
      <c r="Q33" s="11">
        <f>IF(ISBLANK(Calculate_Technical_Metadata___Column[[#This Row],[Column Name]])=TRUE, 0, 1)</f>
        <v>1</v>
      </c>
      <c r="R33" s="11">
        <f>IF(ISBLANK(Calculate_Technical_Metadata___Column[[#This Row],[Data Zone (MDZ/GDZ)]])=TRUE, 0, 1)</f>
        <v>1</v>
      </c>
      <c r="S33" s="11">
        <f>IF(ISBLANK(Calculate_Technical_Metadata___Column[[#This Row],[PII/Non-PII]])=TRUE, 0, 1)</f>
        <v>1</v>
      </c>
      <c r="T33" s="11">
        <f>IF(ISBLANK(Calculate_Technical_Metadata___Column[[#This Row],[Type]])=TRUE, 0, 1)</f>
        <v>1</v>
      </c>
      <c r="U33" s="11">
        <f>IF(ISBLANK(Calculate_Technical_Metadata___Column[[#This Row],[Format]])=TRUE, 0, 1)</f>
        <v>1</v>
      </c>
      <c r="V33" s="11">
        <f>IF(ISBLANK(Calculate_Technical_Metadata___Column[[#This Row],[Nullable]])=TRUE, 0, 1)</f>
        <v>1</v>
      </c>
      <c r="W33" s="11">
        <f>IF(ISBLANK(Calculate_Technical_Metadata___Column[[#This Row],[Updated Date ]])=TRUE, 0, 1)</f>
        <v>1</v>
      </c>
      <c r="X33" s="11">
        <f>IF(ISBLANK(Calculate_Technical_Metadata___Column[[#This Row],[Updated By]])=TRUE, 0, 1)</f>
        <v>1</v>
      </c>
      <c r="Z33">
        <f>IF(COUNTIFS('Cal_Technical - Data Set'!A:A, Calculate_Technical_Metadata___Column[[#This Row],[Data Set Name]]) &gt; 0, 1,0)</f>
        <v>1</v>
      </c>
      <c r="AB33">
        <f>IF( COUNTIFS(C:C, Calculate_Technical_Metadata___Column[[#This Row],[Data Set Name]], D:D, Calculate_Technical_Metadata___Column[[#This Row],[Column Name]], A:A, Calculate_Technical_Metadata___Column[[#This Row],[System/Data Subject Area Name]], B:B, Calculate_Technical_Metadata___Column[[#This Row],[Schema/Database Name]]) &lt;&gt; 1, 0, 1)</f>
        <v>1</v>
      </c>
      <c r="AD33" s="11">
        <f>IF(ISERROR(FIND("  ",Calculate_Technical_Metadata___Column[[#This Row],[System/Data Subject Area Name]], 1))=TRUE, 1, 0)</f>
        <v>1</v>
      </c>
      <c r="AE33" s="11">
        <f>IF(ISERROR(FIND(" ",Calculate_Technical_Metadata___Column[[#This Row],[Schema/Database Name]], 1))=TRUE, 1, 0)</f>
        <v>1</v>
      </c>
      <c r="AF33" s="11">
        <f>IF(OR(ISERROR(FIND(" ",Calculate_Technical_Metadata___Column[[#This Row],[Data Set Name]], 1))=TRUE, ISERROR(FIND("__",Calculate_Technical_Metadata___Column[[#This Row],[Data Set Name]], 1))=TRUE)=TRUE, 1, 0)</f>
        <v>1</v>
      </c>
      <c r="AG33" s="11">
        <f>IF(ISERROR(FIND(" ",Calculate_Technical_Metadata___Column[[#This Row],[Column Name]], 1))=TRUE, 1, 0)</f>
        <v>1</v>
      </c>
      <c r="AH33" s="11">
        <f>IF(ISERROR(FIND("  ",Calculate_Technical_Metadata___Column[[#This Row],[Updated By]], 1))=TRUE, 1, 0)</f>
        <v>1</v>
      </c>
      <c r="AJ33">
        <f>IF(OR(Calculate_Technical_Metadata___Column[[#This Row],[Data Zone (MDZ/GDZ)]]="GDZ",Calculate_Technical_Metadata___Column[[#This Row],[Data Zone (MDZ/GDZ)]]= "MDZ",Calculate_Technical_Metadata___Column[[#This Row],[Data Zone (MDZ/GDZ)]]= "INVX Data Lake")=TRUE, 1, 0)</f>
        <v>1</v>
      </c>
      <c r="AK33" s="11">
        <f>IF(OR(Calculate_Technical_Metadata___Column[[#This Row],[PII/Non-PII]]="PII",Calculate_Technical_Metadata___Column[[#This Row],[PII/Non-PII]]= "Non-PII")=TRUE, 1, 0)</f>
        <v>1</v>
      </c>
      <c r="AL33" s="11" t="str">
        <f xml:space="preserve"> IF(ISERROR(FIND("(",Calculate_Technical_Metadata___Column[[#This Row],[Type]], 1)) = FALSE, _xlfn.TEXTBEFORE(Calculate_Technical_Metadata___Column[[#This Row],[Type]], "("),Calculate_Technical_Metadata___Column[[#This Row],[Type]])</f>
        <v>string</v>
      </c>
      <c r="AM33" s="11">
        <f>IF(COUNTIF(Type!A:A,Calculate_Technical_Metadata___Column[[#This Row],[Type]]) &gt; 0, 1, 0)</f>
        <v>1</v>
      </c>
      <c r="AN33" s="13">
        <f>IF(OR(Calculate_Technical_Metadata___Column[[#This Row],[Nullable]]="Yes",Calculate_Technical_Metadata___Column[[#This Row],[Nullable]]="No")=TRUE, 1, 0)</f>
        <v>1</v>
      </c>
    </row>
    <row r="34" spans="1:40" x14ac:dyDescent="0.3">
      <c r="A34" s="73" t="s">
        <v>469</v>
      </c>
      <c r="B34" s="73" t="s">
        <v>39</v>
      </c>
      <c r="C34" s="73" t="s">
        <v>470</v>
      </c>
      <c r="D34" s="73" t="s">
        <v>474</v>
      </c>
      <c r="E34" t="s">
        <v>42</v>
      </c>
      <c r="F34" s="73" t="s">
        <v>54</v>
      </c>
      <c r="G34" s="73" t="s">
        <v>45</v>
      </c>
      <c r="H34" s="73" t="s">
        <v>55</v>
      </c>
      <c r="I34" t="s">
        <v>47</v>
      </c>
      <c r="J34" s="73" t="s">
        <v>48</v>
      </c>
      <c r="K34" s="71">
        <v>45372</v>
      </c>
      <c r="L34" s="73" t="s">
        <v>49</v>
      </c>
      <c r="N34" s="11">
        <f>IF(ISBLANK(Calculate_Technical_Metadata___Column[[#This Row],[System/Data Subject Area Name]])=TRUE, 0, 1)</f>
        <v>1</v>
      </c>
      <c r="O34" s="11">
        <f>IF(ISBLANK(Calculate_Technical_Metadata___Column[[#This Row],[Schema/Database Name]])=TRUE, 0, 1)</f>
        <v>1</v>
      </c>
      <c r="P34" s="11">
        <f>IF(ISBLANK(Calculate_Technical_Metadata___Column[[#This Row],[Data Set Name]])=TRUE, 0, 1)</f>
        <v>1</v>
      </c>
      <c r="Q34" s="11">
        <f>IF(ISBLANK(Calculate_Technical_Metadata___Column[[#This Row],[Column Name]])=TRUE, 0, 1)</f>
        <v>1</v>
      </c>
      <c r="R34" s="11">
        <f>IF(ISBLANK(Calculate_Technical_Metadata___Column[[#This Row],[Data Zone (MDZ/GDZ)]])=TRUE, 0, 1)</f>
        <v>1</v>
      </c>
      <c r="S34" s="11">
        <f>IF(ISBLANK(Calculate_Technical_Metadata___Column[[#This Row],[PII/Non-PII]])=TRUE, 0, 1)</f>
        <v>1</v>
      </c>
      <c r="T34" s="11">
        <f>IF(ISBLANK(Calculate_Technical_Metadata___Column[[#This Row],[Type]])=TRUE, 0, 1)</f>
        <v>1</v>
      </c>
      <c r="U34" s="11">
        <f>IF(ISBLANK(Calculate_Technical_Metadata___Column[[#This Row],[Format]])=TRUE, 0, 1)</f>
        <v>1</v>
      </c>
      <c r="V34" s="11">
        <f>IF(ISBLANK(Calculate_Technical_Metadata___Column[[#This Row],[Nullable]])=TRUE, 0, 1)</f>
        <v>1</v>
      </c>
      <c r="W34" s="11">
        <f>IF(ISBLANK(Calculate_Technical_Metadata___Column[[#This Row],[Updated Date ]])=TRUE, 0, 1)</f>
        <v>1</v>
      </c>
      <c r="X34" s="11">
        <f>IF(ISBLANK(Calculate_Technical_Metadata___Column[[#This Row],[Updated By]])=TRUE, 0, 1)</f>
        <v>1</v>
      </c>
      <c r="Z34">
        <f>IF(COUNTIFS('Cal_Technical - Data Set'!A:A, Calculate_Technical_Metadata___Column[[#This Row],[Data Set Name]]) &gt; 0, 1,0)</f>
        <v>1</v>
      </c>
      <c r="AB34">
        <f>IF( COUNTIFS(C:C, Calculate_Technical_Metadata___Column[[#This Row],[Data Set Name]], D:D, Calculate_Technical_Metadata___Column[[#This Row],[Column Name]], A:A, Calculate_Technical_Metadata___Column[[#This Row],[System/Data Subject Area Name]], B:B, Calculate_Technical_Metadata___Column[[#This Row],[Schema/Database Name]]) &lt;&gt; 1, 0, 1)</f>
        <v>1</v>
      </c>
      <c r="AD34" s="11">
        <f>IF(ISERROR(FIND("  ",Calculate_Technical_Metadata___Column[[#This Row],[System/Data Subject Area Name]], 1))=TRUE, 1, 0)</f>
        <v>1</v>
      </c>
      <c r="AE34" s="11">
        <f>IF(ISERROR(FIND(" ",Calculate_Technical_Metadata___Column[[#This Row],[Schema/Database Name]], 1))=TRUE, 1, 0)</f>
        <v>1</v>
      </c>
      <c r="AF34" s="11">
        <f>IF(OR(ISERROR(FIND(" ",Calculate_Technical_Metadata___Column[[#This Row],[Data Set Name]], 1))=TRUE, ISERROR(FIND("__",Calculate_Technical_Metadata___Column[[#This Row],[Data Set Name]], 1))=TRUE)=TRUE, 1, 0)</f>
        <v>1</v>
      </c>
      <c r="AG34" s="11">
        <f>IF(ISERROR(FIND(" ",Calculate_Technical_Metadata___Column[[#This Row],[Column Name]], 1))=TRUE, 1, 0)</f>
        <v>1</v>
      </c>
      <c r="AH34" s="11">
        <f>IF(ISERROR(FIND("  ",Calculate_Technical_Metadata___Column[[#This Row],[Updated By]], 1))=TRUE, 1, 0)</f>
        <v>1</v>
      </c>
      <c r="AJ34">
        <f>IF(OR(Calculate_Technical_Metadata___Column[[#This Row],[Data Zone (MDZ/GDZ)]]="GDZ",Calculate_Technical_Metadata___Column[[#This Row],[Data Zone (MDZ/GDZ)]]= "MDZ",Calculate_Technical_Metadata___Column[[#This Row],[Data Zone (MDZ/GDZ)]]= "INVX Data Lake")=TRUE, 1, 0)</f>
        <v>1</v>
      </c>
      <c r="AK34" s="11">
        <f>IF(OR(Calculate_Technical_Metadata___Column[[#This Row],[PII/Non-PII]]="PII",Calculate_Technical_Metadata___Column[[#This Row],[PII/Non-PII]]= "Non-PII")=TRUE, 1, 0)</f>
        <v>1</v>
      </c>
      <c r="AL34" s="11" t="str">
        <f xml:space="preserve"> IF(ISERROR(FIND("(",Calculate_Technical_Metadata___Column[[#This Row],[Type]], 1)) = FALSE, _xlfn.TEXTBEFORE(Calculate_Technical_Metadata___Column[[#This Row],[Type]], "("),Calculate_Technical_Metadata___Column[[#This Row],[Type]])</f>
        <v>string</v>
      </c>
      <c r="AM34" s="11">
        <f>IF(COUNTIF(Type!A:A,Calculate_Technical_Metadata___Column[[#This Row],[Type]]) &gt; 0, 1, 0)</f>
        <v>1</v>
      </c>
      <c r="AN34" s="13">
        <f>IF(OR(Calculate_Technical_Metadata___Column[[#This Row],[Nullable]]="Yes",Calculate_Technical_Metadata___Column[[#This Row],[Nullable]]="No")=TRUE, 1, 0)</f>
        <v>1</v>
      </c>
    </row>
    <row r="35" spans="1:40" x14ac:dyDescent="0.3">
      <c r="A35" s="73" t="s">
        <v>469</v>
      </c>
      <c r="B35" s="73" t="s">
        <v>39</v>
      </c>
      <c r="C35" s="73" t="s">
        <v>470</v>
      </c>
      <c r="D35" s="73" t="s">
        <v>475</v>
      </c>
      <c r="E35" t="s">
        <v>42</v>
      </c>
      <c r="F35" s="73" t="s">
        <v>43</v>
      </c>
      <c r="G35" s="73" t="s">
        <v>59</v>
      </c>
      <c r="H35" s="73" t="s">
        <v>60</v>
      </c>
      <c r="I35" t="s">
        <v>47</v>
      </c>
      <c r="J35" s="73" t="s">
        <v>48</v>
      </c>
      <c r="K35" s="71">
        <v>45372</v>
      </c>
      <c r="L35" s="73" t="s">
        <v>49</v>
      </c>
      <c r="N35" s="11">
        <f>IF(ISBLANK(Calculate_Technical_Metadata___Column[[#This Row],[System/Data Subject Area Name]])=TRUE, 0, 1)</f>
        <v>1</v>
      </c>
      <c r="O35" s="11">
        <f>IF(ISBLANK(Calculate_Technical_Metadata___Column[[#This Row],[Schema/Database Name]])=TRUE, 0, 1)</f>
        <v>1</v>
      </c>
      <c r="P35" s="11">
        <f>IF(ISBLANK(Calculate_Technical_Metadata___Column[[#This Row],[Data Set Name]])=TRUE, 0, 1)</f>
        <v>1</v>
      </c>
      <c r="Q35" s="11">
        <f>IF(ISBLANK(Calculate_Technical_Metadata___Column[[#This Row],[Column Name]])=TRUE, 0, 1)</f>
        <v>1</v>
      </c>
      <c r="R35" s="11">
        <f>IF(ISBLANK(Calculate_Technical_Metadata___Column[[#This Row],[Data Zone (MDZ/GDZ)]])=TRUE, 0, 1)</f>
        <v>1</v>
      </c>
      <c r="S35" s="11">
        <f>IF(ISBLANK(Calculate_Technical_Metadata___Column[[#This Row],[PII/Non-PII]])=TRUE, 0, 1)</f>
        <v>1</v>
      </c>
      <c r="T35" s="11">
        <f>IF(ISBLANK(Calculate_Technical_Metadata___Column[[#This Row],[Type]])=TRUE, 0, 1)</f>
        <v>1</v>
      </c>
      <c r="U35" s="11">
        <f>IF(ISBLANK(Calculate_Technical_Metadata___Column[[#This Row],[Format]])=TRUE, 0, 1)</f>
        <v>1</v>
      </c>
      <c r="V35" s="11">
        <f>IF(ISBLANK(Calculate_Technical_Metadata___Column[[#This Row],[Nullable]])=TRUE, 0, 1)</f>
        <v>1</v>
      </c>
      <c r="W35" s="11">
        <f>IF(ISBLANK(Calculate_Technical_Metadata___Column[[#This Row],[Updated Date ]])=TRUE, 0, 1)</f>
        <v>1</v>
      </c>
      <c r="X35" s="11">
        <f>IF(ISBLANK(Calculate_Technical_Metadata___Column[[#This Row],[Updated By]])=TRUE, 0, 1)</f>
        <v>1</v>
      </c>
      <c r="Z35">
        <f>IF(COUNTIFS('Cal_Technical - Data Set'!A:A, Calculate_Technical_Metadata___Column[[#This Row],[Data Set Name]]) &gt; 0, 1,0)</f>
        <v>1</v>
      </c>
      <c r="AB35">
        <f>IF( COUNTIFS(C:C, Calculate_Technical_Metadata___Column[[#This Row],[Data Set Name]], D:D, Calculate_Technical_Metadata___Column[[#This Row],[Column Name]], A:A, Calculate_Technical_Metadata___Column[[#This Row],[System/Data Subject Area Name]], B:B, Calculate_Technical_Metadata___Column[[#This Row],[Schema/Database Name]]) &lt;&gt; 1, 0, 1)</f>
        <v>1</v>
      </c>
      <c r="AD35" s="11">
        <f>IF(ISERROR(FIND("  ",Calculate_Technical_Metadata___Column[[#This Row],[System/Data Subject Area Name]], 1))=TRUE, 1, 0)</f>
        <v>1</v>
      </c>
      <c r="AE35" s="11">
        <f>IF(ISERROR(FIND(" ",Calculate_Technical_Metadata___Column[[#This Row],[Schema/Database Name]], 1))=TRUE, 1, 0)</f>
        <v>1</v>
      </c>
      <c r="AF35" s="11">
        <f>IF(OR(ISERROR(FIND(" ",Calculate_Technical_Metadata___Column[[#This Row],[Data Set Name]], 1))=TRUE, ISERROR(FIND("__",Calculate_Technical_Metadata___Column[[#This Row],[Data Set Name]], 1))=TRUE)=TRUE, 1, 0)</f>
        <v>1</v>
      </c>
      <c r="AG35" s="11">
        <f>IF(ISERROR(FIND(" ",Calculate_Technical_Metadata___Column[[#This Row],[Column Name]], 1))=TRUE, 1, 0)</f>
        <v>1</v>
      </c>
      <c r="AH35" s="11">
        <f>IF(ISERROR(FIND("  ",Calculate_Technical_Metadata___Column[[#This Row],[Updated By]], 1))=TRUE, 1, 0)</f>
        <v>1</v>
      </c>
      <c r="AJ35">
        <f>IF(OR(Calculate_Technical_Metadata___Column[[#This Row],[Data Zone (MDZ/GDZ)]]="GDZ",Calculate_Technical_Metadata___Column[[#This Row],[Data Zone (MDZ/GDZ)]]= "MDZ",Calculate_Technical_Metadata___Column[[#This Row],[Data Zone (MDZ/GDZ)]]= "INVX Data Lake")=TRUE, 1, 0)</f>
        <v>1</v>
      </c>
      <c r="AK35" s="11">
        <f>IF(OR(Calculate_Technical_Metadata___Column[[#This Row],[PII/Non-PII]]="PII",Calculate_Technical_Metadata___Column[[#This Row],[PII/Non-PII]]= "Non-PII")=TRUE, 1, 0)</f>
        <v>1</v>
      </c>
      <c r="AL35" s="11" t="str">
        <f xml:space="preserve"> IF(ISERROR(FIND("(",Calculate_Technical_Metadata___Column[[#This Row],[Type]], 1)) = FALSE, _xlfn.TEXTBEFORE(Calculate_Technical_Metadata___Column[[#This Row],[Type]], "("),Calculate_Technical_Metadata___Column[[#This Row],[Type]])</f>
        <v>Date</v>
      </c>
      <c r="AM35" s="11">
        <f>IF(COUNTIF(Type!A:A,Calculate_Technical_Metadata___Column[[#This Row],[Type]]) &gt; 0, 1, 0)</f>
        <v>1</v>
      </c>
      <c r="AN35" s="13">
        <f>IF(OR(Calculate_Technical_Metadata___Column[[#This Row],[Nullable]]="Yes",Calculate_Technical_Metadata___Column[[#This Row],[Nullable]]="No")=TRUE, 1, 0)</f>
        <v>1</v>
      </c>
    </row>
    <row r="36" spans="1:40" x14ac:dyDescent="0.3">
      <c r="A36" s="73" t="s">
        <v>469</v>
      </c>
      <c r="B36" s="73" t="s">
        <v>39</v>
      </c>
      <c r="C36" s="73" t="s">
        <v>470</v>
      </c>
      <c r="D36" s="73" t="s">
        <v>476</v>
      </c>
      <c r="E36" t="s">
        <v>42</v>
      </c>
      <c r="F36" s="73" t="s">
        <v>43</v>
      </c>
      <c r="G36" s="73" t="s">
        <v>59</v>
      </c>
      <c r="H36" s="73" t="s">
        <v>60</v>
      </c>
      <c r="I36" t="s">
        <v>47</v>
      </c>
      <c r="J36" s="73" t="s">
        <v>48</v>
      </c>
      <c r="K36" s="71">
        <v>45372</v>
      </c>
      <c r="L36" s="73" t="s">
        <v>49</v>
      </c>
      <c r="N36" s="11">
        <f>IF(ISBLANK(Calculate_Technical_Metadata___Column[[#This Row],[System/Data Subject Area Name]])=TRUE, 0, 1)</f>
        <v>1</v>
      </c>
      <c r="O36" s="11">
        <f>IF(ISBLANK(Calculate_Technical_Metadata___Column[[#This Row],[Schema/Database Name]])=TRUE, 0, 1)</f>
        <v>1</v>
      </c>
      <c r="P36" s="11">
        <f>IF(ISBLANK(Calculate_Technical_Metadata___Column[[#This Row],[Data Set Name]])=TRUE, 0, 1)</f>
        <v>1</v>
      </c>
      <c r="Q36" s="11">
        <f>IF(ISBLANK(Calculate_Technical_Metadata___Column[[#This Row],[Column Name]])=TRUE, 0, 1)</f>
        <v>1</v>
      </c>
      <c r="R36" s="11">
        <f>IF(ISBLANK(Calculate_Technical_Metadata___Column[[#This Row],[Data Zone (MDZ/GDZ)]])=TRUE, 0, 1)</f>
        <v>1</v>
      </c>
      <c r="S36" s="11">
        <f>IF(ISBLANK(Calculate_Technical_Metadata___Column[[#This Row],[PII/Non-PII]])=TRUE, 0, 1)</f>
        <v>1</v>
      </c>
      <c r="T36" s="11">
        <f>IF(ISBLANK(Calculate_Technical_Metadata___Column[[#This Row],[Type]])=TRUE, 0, 1)</f>
        <v>1</v>
      </c>
      <c r="U36" s="11">
        <f>IF(ISBLANK(Calculate_Technical_Metadata___Column[[#This Row],[Format]])=TRUE, 0, 1)</f>
        <v>1</v>
      </c>
      <c r="V36" s="11">
        <f>IF(ISBLANK(Calculate_Technical_Metadata___Column[[#This Row],[Nullable]])=TRUE, 0, 1)</f>
        <v>1</v>
      </c>
      <c r="W36" s="11">
        <f>IF(ISBLANK(Calculate_Technical_Metadata___Column[[#This Row],[Updated Date ]])=TRUE, 0, 1)</f>
        <v>1</v>
      </c>
      <c r="X36" s="11">
        <f>IF(ISBLANK(Calculate_Technical_Metadata___Column[[#This Row],[Updated By]])=TRUE, 0, 1)</f>
        <v>1</v>
      </c>
      <c r="Z36">
        <f>IF(COUNTIFS('Cal_Technical - Data Set'!A:A, Calculate_Technical_Metadata___Column[[#This Row],[Data Set Name]]) &gt; 0, 1,0)</f>
        <v>1</v>
      </c>
      <c r="AB36">
        <f>IF( COUNTIFS(C:C, Calculate_Technical_Metadata___Column[[#This Row],[Data Set Name]], D:D, Calculate_Technical_Metadata___Column[[#This Row],[Column Name]], A:A, Calculate_Technical_Metadata___Column[[#This Row],[System/Data Subject Area Name]], B:B, Calculate_Technical_Metadata___Column[[#This Row],[Schema/Database Name]]) &lt;&gt; 1, 0, 1)</f>
        <v>1</v>
      </c>
      <c r="AD36" s="11">
        <f>IF(ISERROR(FIND("  ",Calculate_Technical_Metadata___Column[[#This Row],[System/Data Subject Area Name]], 1))=TRUE, 1, 0)</f>
        <v>1</v>
      </c>
      <c r="AE36" s="11">
        <f>IF(ISERROR(FIND(" ",Calculate_Technical_Metadata___Column[[#This Row],[Schema/Database Name]], 1))=TRUE, 1, 0)</f>
        <v>1</v>
      </c>
      <c r="AF36" s="11">
        <f>IF(OR(ISERROR(FIND(" ",Calculate_Technical_Metadata___Column[[#This Row],[Data Set Name]], 1))=TRUE, ISERROR(FIND("__",Calculate_Technical_Metadata___Column[[#This Row],[Data Set Name]], 1))=TRUE)=TRUE, 1, 0)</f>
        <v>1</v>
      </c>
      <c r="AG36" s="11">
        <f>IF(ISERROR(FIND(" ",Calculate_Technical_Metadata___Column[[#This Row],[Column Name]], 1))=TRUE, 1, 0)</f>
        <v>1</v>
      </c>
      <c r="AH36" s="11">
        <f>IF(ISERROR(FIND("  ",Calculate_Technical_Metadata___Column[[#This Row],[Updated By]], 1))=TRUE, 1, 0)</f>
        <v>1</v>
      </c>
      <c r="AJ36">
        <f>IF(OR(Calculate_Technical_Metadata___Column[[#This Row],[Data Zone (MDZ/GDZ)]]="GDZ",Calculate_Technical_Metadata___Column[[#This Row],[Data Zone (MDZ/GDZ)]]= "MDZ",Calculate_Technical_Metadata___Column[[#This Row],[Data Zone (MDZ/GDZ)]]= "INVX Data Lake")=TRUE, 1, 0)</f>
        <v>1</v>
      </c>
      <c r="AK36" s="11">
        <f>IF(OR(Calculate_Technical_Metadata___Column[[#This Row],[PII/Non-PII]]="PII",Calculate_Technical_Metadata___Column[[#This Row],[PII/Non-PII]]= "Non-PII")=TRUE, 1, 0)</f>
        <v>1</v>
      </c>
      <c r="AL36" s="11" t="str">
        <f xml:space="preserve"> IF(ISERROR(FIND("(",Calculate_Technical_Metadata___Column[[#This Row],[Type]], 1)) = FALSE, _xlfn.TEXTBEFORE(Calculate_Technical_Metadata___Column[[#This Row],[Type]], "("),Calculate_Technical_Metadata___Column[[#This Row],[Type]])</f>
        <v>Date</v>
      </c>
      <c r="AM36" s="11">
        <f>IF(COUNTIF(Type!A:A,Calculate_Technical_Metadata___Column[[#This Row],[Type]]) &gt; 0, 1, 0)</f>
        <v>1</v>
      </c>
      <c r="AN36" s="13">
        <f>IF(OR(Calculate_Technical_Metadata___Column[[#This Row],[Nullable]]="Yes",Calculate_Technical_Metadata___Column[[#This Row],[Nullable]]="No")=TRUE, 1, 0)</f>
        <v>1</v>
      </c>
    </row>
    <row r="37" spans="1:40" x14ac:dyDescent="0.3">
      <c r="A37" s="73" t="s">
        <v>469</v>
      </c>
      <c r="B37" s="73" t="s">
        <v>39</v>
      </c>
      <c r="C37" s="73" t="s">
        <v>470</v>
      </c>
      <c r="D37" s="73" t="s">
        <v>477</v>
      </c>
      <c r="E37" t="s">
        <v>42</v>
      </c>
      <c r="F37" s="73" t="s">
        <v>43</v>
      </c>
      <c r="G37" s="73" t="s">
        <v>76</v>
      </c>
      <c r="H37" s="73" t="s">
        <v>55</v>
      </c>
      <c r="I37" t="s">
        <v>47</v>
      </c>
      <c r="J37" s="73" t="s">
        <v>48</v>
      </c>
      <c r="K37" s="71">
        <v>45372</v>
      </c>
      <c r="L37" s="73" t="s">
        <v>49</v>
      </c>
      <c r="N37" s="11">
        <f>IF(ISBLANK(Calculate_Technical_Metadata___Column[[#This Row],[System/Data Subject Area Name]])=TRUE, 0, 1)</f>
        <v>1</v>
      </c>
      <c r="O37" s="11">
        <f>IF(ISBLANK(Calculate_Technical_Metadata___Column[[#This Row],[Schema/Database Name]])=TRUE, 0, 1)</f>
        <v>1</v>
      </c>
      <c r="P37" s="11">
        <f>IF(ISBLANK(Calculate_Technical_Metadata___Column[[#This Row],[Data Set Name]])=TRUE, 0, 1)</f>
        <v>1</v>
      </c>
      <c r="Q37" s="11">
        <f>IF(ISBLANK(Calculate_Technical_Metadata___Column[[#This Row],[Column Name]])=TRUE, 0, 1)</f>
        <v>1</v>
      </c>
      <c r="R37" s="11">
        <f>IF(ISBLANK(Calculate_Technical_Metadata___Column[[#This Row],[Data Zone (MDZ/GDZ)]])=TRUE, 0, 1)</f>
        <v>1</v>
      </c>
      <c r="S37" s="11">
        <f>IF(ISBLANK(Calculate_Technical_Metadata___Column[[#This Row],[PII/Non-PII]])=TRUE, 0, 1)</f>
        <v>1</v>
      </c>
      <c r="T37" s="11">
        <f>IF(ISBLANK(Calculate_Technical_Metadata___Column[[#This Row],[Type]])=TRUE, 0, 1)</f>
        <v>1</v>
      </c>
      <c r="U37" s="11">
        <f>IF(ISBLANK(Calculate_Technical_Metadata___Column[[#This Row],[Format]])=TRUE, 0, 1)</f>
        <v>1</v>
      </c>
      <c r="V37" s="11">
        <f>IF(ISBLANK(Calculate_Technical_Metadata___Column[[#This Row],[Nullable]])=TRUE, 0, 1)</f>
        <v>1</v>
      </c>
      <c r="W37" s="11">
        <f>IF(ISBLANK(Calculate_Technical_Metadata___Column[[#This Row],[Updated Date ]])=TRUE, 0, 1)</f>
        <v>1</v>
      </c>
      <c r="X37" s="11">
        <f>IF(ISBLANK(Calculate_Technical_Metadata___Column[[#This Row],[Updated By]])=TRUE, 0, 1)</f>
        <v>1</v>
      </c>
      <c r="Z37">
        <f>IF(COUNTIFS('Cal_Technical - Data Set'!A:A, Calculate_Technical_Metadata___Column[[#This Row],[Data Set Name]]) &gt; 0, 1,0)</f>
        <v>1</v>
      </c>
      <c r="AB37">
        <f>IF( COUNTIFS(C:C, Calculate_Technical_Metadata___Column[[#This Row],[Data Set Name]], D:D, Calculate_Technical_Metadata___Column[[#This Row],[Column Name]], A:A, Calculate_Technical_Metadata___Column[[#This Row],[System/Data Subject Area Name]], B:B, Calculate_Technical_Metadata___Column[[#This Row],[Schema/Database Name]]) &lt;&gt; 1, 0, 1)</f>
        <v>1</v>
      </c>
      <c r="AD37" s="11">
        <f>IF(ISERROR(FIND("  ",Calculate_Technical_Metadata___Column[[#This Row],[System/Data Subject Area Name]], 1))=TRUE, 1, 0)</f>
        <v>1</v>
      </c>
      <c r="AE37" s="11">
        <f>IF(ISERROR(FIND(" ",Calculate_Technical_Metadata___Column[[#This Row],[Schema/Database Name]], 1))=TRUE, 1, 0)</f>
        <v>1</v>
      </c>
      <c r="AF37" s="11">
        <f>IF(OR(ISERROR(FIND(" ",Calculate_Technical_Metadata___Column[[#This Row],[Data Set Name]], 1))=TRUE, ISERROR(FIND("__",Calculate_Technical_Metadata___Column[[#This Row],[Data Set Name]], 1))=TRUE)=TRUE, 1, 0)</f>
        <v>1</v>
      </c>
      <c r="AG37" s="11">
        <f>IF(ISERROR(FIND(" ",Calculate_Technical_Metadata___Column[[#This Row],[Column Name]], 1))=TRUE, 1, 0)</f>
        <v>1</v>
      </c>
      <c r="AH37" s="11">
        <f>IF(ISERROR(FIND("  ",Calculate_Technical_Metadata___Column[[#This Row],[Updated By]], 1))=TRUE, 1, 0)</f>
        <v>1</v>
      </c>
      <c r="AJ37">
        <f>IF(OR(Calculate_Technical_Metadata___Column[[#This Row],[Data Zone (MDZ/GDZ)]]="GDZ",Calculate_Technical_Metadata___Column[[#This Row],[Data Zone (MDZ/GDZ)]]= "MDZ",Calculate_Technical_Metadata___Column[[#This Row],[Data Zone (MDZ/GDZ)]]= "INVX Data Lake")=TRUE, 1, 0)</f>
        <v>1</v>
      </c>
      <c r="AK37" s="11">
        <f>IF(OR(Calculate_Technical_Metadata___Column[[#This Row],[PII/Non-PII]]="PII",Calculate_Technical_Metadata___Column[[#This Row],[PII/Non-PII]]= "Non-PII")=TRUE, 1, 0)</f>
        <v>1</v>
      </c>
      <c r="AL37" s="11" t="str">
        <f xml:space="preserve"> IF(ISERROR(FIND("(",Calculate_Technical_Metadata___Column[[#This Row],[Type]], 1)) = FALSE, _xlfn.TEXTBEFORE(Calculate_Technical_Metadata___Column[[#This Row],[Type]], "("),Calculate_Technical_Metadata___Column[[#This Row],[Type]])</f>
        <v>integer</v>
      </c>
      <c r="AM37" s="11">
        <f>IF(COUNTIF(Type!A:A,Calculate_Technical_Metadata___Column[[#This Row],[Type]]) &gt; 0, 1, 0)</f>
        <v>1</v>
      </c>
      <c r="AN37" s="13">
        <f>IF(OR(Calculate_Technical_Metadata___Column[[#This Row],[Nullable]]="Yes",Calculate_Technical_Metadata___Column[[#This Row],[Nullable]]="No")=TRUE, 1, 0)</f>
        <v>1</v>
      </c>
    </row>
    <row r="38" spans="1:40" x14ac:dyDescent="0.3">
      <c r="A38" s="73" t="s">
        <v>469</v>
      </c>
      <c r="B38" s="73" t="s">
        <v>39</v>
      </c>
      <c r="C38" s="73" t="s">
        <v>470</v>
      </c>
      <c r="D38" s="73" t="s">
        <v>478</v>
      </c>
      <c r="E38" t="s">
        <v>42</v>
      </c>
      <c r="F38" s="73" t="s">
        <v>43</v>
      </c>
      <c r="G38" s="73" t="s">
        <v>76</v>
      </c>
      <c r="H38" s="73" t="s">
        <v>55</v>
      </c>
      <c r="I38" t="s">
        <v>47</v>
      </c>
      <c r="J38" s="73" t="s">
        <v>48</v>
      </c>
      <c r="K38" s="71">
        <v>45372</v>
      </c>
      <c r="L38" s="73" t="s">
        <v>49</v>
      </c>
      <c r="N38" s="11">
        <f>IF(ISBLANK(Calculate_Technical_Metadata___Column[[#This Row],[System/Data Subject Area Name]])=TRUE, 0, 1)</f>
        <v>1</v>
      </c>
      <c r="O38" s="11">
        <f>IF(ISBLANK(Calculate_Technical_Metadata___Column[[#This Row],[Schema/Database Name]])=TRUE, 0, 1)</f>
        <v>1</v>
      </c>
      <c r="P38" s="11">
        <f>IF(ISBLANK(Calculate_Technical_Metadata___Column[[#This Row],[Data Set Name]])=TRUE, 0, 1)</f>
        <v>1</v>
      </c>
      <c r="Q38" s="11">
        <f>IF(ISBLANK(Calculate_Technical_Metadata___Column[[#This Row],[Column Name]])=TRUE, 0, 1)</f>
        <v>1</v>
      </c>
      <c r="R38" s="11">
        <f>IF(ISBLANK(Calculate_Technical_Metadata___Column[[#This Row],[Data Zone (MDZ/GDZ)]])=TRUE, 0, 1)</f>
        <v>1</v>
      </c>
      <c r="S38" s="11">
        <f>IF(ISBLANK(Calculate_Technical_Metadata___Column[[#This Row],[PII/Non-PII]])=TRUE, 0, 1)</f>
        <v>1</v>
      </c>
      <c r="T38" s="11">
        <f>IF(ISBLANK(Calculate_Technical_Metadata___Column[[#This Row],[Type]])=TRUE, 0, 1)</f>
        <v>1</v>
      </c>
      <c r="U38" s="11">
        <f>IF(ISBLANK(Calculate_Technical_Metadata___Column[[#This Row],[Format]])=TRUE, 0, 1)</f>
        <v>1</v>
      </c>
      <c r="V38" s="11">
        <f>IF(ISBLANK(Calculate_Technical_Metadata___Column[[#This Row],[Nullable]])=TRUE, 0, 1)</f>
        <v>1</v>
      </c>
      <c r="W38" s="11">
        <f>IF(ISBLANK(Calculate_Technical_Metadata___Column[[#This Row],[Updated Date ]])=TRUE, 0, 1)</f>
        <v>1</v>
      </c>
      <c r="X38" s="11">
        <f>IF(ISBLANK(Calculate_Technical_Metadata___Column[[#This Row],[Updated By]])=TRUE, 0, 1)</f>
        <v>1</v>
      </c>
      <c r="Z38">
        <f>IF(COUNTIFS('Cal_Technical - Data Set'!A:A, Calculate_Technical_Metadata___Column[[#This Row],[Data Set Name]]) &gt; 0, 1,0)</f>
        <v>1</v>
      </c>
      <c r="AB38">
        <f>IF( COUNTIFS(C:C, Calculate_Technical_Metadata___Column[[#This Row],[Data Set Name]], D:D, Calculate_Technical_Metadata___Column[[#This Row],[Column Name]], A:A, Calculate_Technical_Metadata___Column[[#This Row],[System/Data Subject Area Name]], B:B, Calculate_Technical_Metadata___Column[[#This Row],[Schema/Database Name]]) &lt;&gt; 1, 0, 1)</f>
        <v>1</v>
      </c>
      <c r="AD38" s="11">
        <f>IF(ISERROR(FIND("  ",Calculate_Technical_Metadata___Column[[#This Row],[System/Data Subject Area Name]], 1))=TRUE, 1, 0)</f>
        <v>1</v>
      </c>
      <c r="AE38" s="11">
        <f>IF(ISERROR(FIND(" ",Calculate_Technical_Metadata___Column[[#This Row],[Schema/Database Name]], 1))=TRUE, 1, 0)</f>
        <v>1</v>
      </c>
      <c r="AF38" s="11">
        <f>IF(OR(ISERROR(FIND(" ",Calculate_Technical_Metadata___Column[[#This Row],[Data Set Name]], 1))=TRUE, ISERROR(FIND("__",Calculate_Technical_Metadata___Column[[#This Row],[Data Set Name]], 1))=TRUE)=TRUE, 1, 0)</f>
        <v>1</v>
      </c>
      <c r="AG38" s="11">
        <f>IF(ISERROR(FIND(" ",Calculate_Technical_Metadata___Column[[#This Row],[Column Name]], 1))=TRUE, 1, 0)</f>
        <v>1</v>
      </c>
      <c r="AH38" s="11">
        <f>IF(ISERROR(FIND("  ",Calculate_Technical_Metadata___Column[[#This Row],[Updated By]], 1))=TRUE, 1, 0)</f>
        <v>1</v>
      </c>
      <c r="AJ38">
        <f>IF(OR(Calculate_Technical_Metadata___Column[[#This Row],[Data Zone (MDZ/GDZ)]]="GDZ",Calculate_Technical_Metadata___Column[[#This Row],[Data Zone (MDZ/GDZ)]]= "MDZ",Calculate_Technical_Metadata___Column[[#This Row],[Data Zone (MDZ/GDZ)]]= "INVX Data Lake")=TRUE, 1, 0)</f>
        <v>1</v>
      </c>
      <c r="AK38" s="11">
        <f>IF(OR(Calculate_Technical_Metadata___Column[[#This Row],[PII/Non-PII]]="PII",Calculate_Technical_Metadata___Column[[#This Row],[PII/Non-PII]]= "Non-PII")=TRUE, 1, 0)</f>
        <v>1</v>
      </c>
      <c r="AL38" s="11" t="str">
        <f xml:space="preserve"> IF(ISERROR(FIND("(",Calculate_Technical_Metadata___Column[[#This Row],[Type]], 1)) = FALSE, _xlfn.TEXTBEFORE(Calculate_Technical_Metadata___Column[[#This Row],[Type]], "("),Calculate_Technical_Metadata___Column[[#This Row],[Type]])</f>
        <v>integer</v>
      </c>
      <c r="AM38" s="11">
        <f>IF(COUNTIF(Type!A:A,Calculate_Technical_Metadata___Column[[#This Row],[Type]]) &gt; 0, 1, 0)</f>
        <v>1</v>
      </c>
      <c r="AN38" s="13">
        <f>IF(OR(Calculate_Technical_Metadata___Column[[#This Row],[Nullable]]="Yes",Calculate_Technical_Metadata___Column[[#This Row],[Nullable]]="No")=TRUE, 1, 0)</f>
        <v>1</v>
      </c>
    </row>
    <row r="39" spans="1:40" x14ac:dyDescent="0.3">
      <c r="A39" s="73" t="s">
        <v>469</v>
      </c>
      <c r="B39" s="73" t="s">
        <v>39</v>
      </c>
      <c r="C39" s="73" t="s">
        <v>470</v>
      </c>
      <c r="D39" s="73" t="s">
        <v>479</v>
      </c>
      <c r="E39" t="s">
        <v>42</v>
      </c>
      <c r="F39" s="73" t="s">
        <v>43</v>
      </c>
      <c r="G39" s="73" t="s">
        <v>76</v>
      </c>
      <c r="H39" s="73" t="s">
        <v>55</v>
      </c>
      <c r="I39" t="s">
        <v>47</v>
      </c>
      <c r="J39" s="73" t="s">
        <v>48</v>
      </c>
      <c r="K39" s="71">
        <v>45372</v>
      </c>
      <c r="L39" s="73" t="s">
        <v>49</v>
      </c>
      <c r="N39" s="11">
        <f>IF(ISBLANK(Calculate_Technical_Metadata___Column[[#This Row],[System/Data Subject Area Name]])=TRUE, 0, 1)</f>
        <v>1</v>
      </c>
      <c r="O39" s="11">
        <f>IF(ISBLANK(Calculate_Technical_Metadata___Column[[#This Row],[Schema/Database Name]])=TRUE, 0, 1)</f>
        <v>1</v>
      </c>
      <c r="P39" s="11">
        <f>IF(ISBLANK(Calculate_Technical_Metadata___Column[[#This Row],[Data Set Name]])=TRUE, 0, 1)</f>
        <v>1</v>
      </c>
      <c r="Q39" s="11">
        <f>IF(ISBLANK(Calculate_Technical_Metadata___Column[[#This Row],[Column Name]])=TRUE, 0, 1)</f>
        <v>1</v>
      </c>
      <c r="R39" s="11">
        <f>IF(ISBLANK(Calculate_Technical_Metadata___Column[[#This Row],[Data Zone (MDZ/GDZ)]])=TRUE, 0, 1)</f>
        <v>1</v>
      </c>
      <c r="S39" s="11">
        <f>IF(ISBLANK(Calculate_Technical_Metadata___Column[[#This Row],[PII/Non-PII]])=TRUE, 0, 1)</f>
        <v>1</v>
      </c>
      <c r="T39" s="11">
        <f>IF(ISBLANK(Calculate_Technical_Metadata___Column[[#This Row],[Type]])=TRUE, 0, 1)</f>
        <v>1</v>
      </c>
      <c r="U39" s="11">
        <f>IF(ISBLANK(Calculate_Technical_Metadata___Column[[#This Row],[Format]])=TRUE, 0, 1)</f>
        <v>1</v>
      </c>
      <c r="V39" s="11">
        <f>IF(ISBLANK(Calculate_Technical_Metadata___Column[[#This Row],[Nullable]])=TRUE, 0, 1)</f>
        <v>1</v>
      </c>
      <c r="W39" s="11">
        <f>IF(ISBLANK(Calculate_Technical_Metadata___Column[[#This Row],[Updated Date ]])=TRUE, 0, 1)</f>
        <v>1</v>
      </c>
      <c r="X39" s="11">
        <f>IF(ISBLANK(Calculate_Technical_Metadata___Column[[#This Row],[Updated By]])=TRUE, 0, 1)</f>
        <v>1</v>
      </c>
      <c r="Z39">
        <f>IF(COUNTIFS('Cal_Technical - Data Set'!A:A, Calculate_Technical_Metadata___Column[[#This Row],[Data Set Name]]) &gt; 0, 1,0)</f>
        <v>1</v>
      </c>
      <c r="AB39">
        <f>IF( COUNTIFS(C:C, Calculate_Technical_Metadata___Column[[#This Row],[Data Set Name]], D:D, Calculate_Technical_Metadata___Column[[#This Row],[Column Name]], A:A, Calculate_Technical_Metadata___Column[[#This Row],[System/Data Subject Area Name]], B:B, Calculate_Technical_Metadata___Column[[#This Row],[Schema/Database Name]]) &lt;&gt; 1, 0, 1)</f>
        <v>1</v>
      </c>
      <c r="AD39" s="11">
        <f>IF(ISERROR(FIND("  ",Calculate_Technical_Metadata___Column[[#This Row],[System/Data Subject Area Name]], 1))=TRUE, 1, 0)</f>
        <v>1</v>
      </c>
      <c r="AE39" s="11">
        <f>IF(ISERROR(FIND(" ",Calculate_Technical_Metadata___Column[[#This Row],[Schema/Database Name]], 1))=TRUE, 1, 0)</f>
        <v>1</v>
      </c>
      <c r="AF39" s="11">
        <f>IF(OR(ISERROR(FIND(" ",Calculate_Technical_Metadata___Column[[#This Row],[Data Set Name]], 1))=TRUE, ISERROR(FIND("__",Calculate_Technical_Metadata___Column[[#This Row],[Data Set Name]], 1))=TRUE)=TRUE, 1, 0)</f>
        <v>1</v>
      </c>
      <c r="AG39" s="11">
        <f>IF(ISERROR(FIND(" ",Calculate_Technical_Metadata___Column[[#This Row],[Column Name]], 1))=TRUE, 1, 0)</f>
        <v>1</v>
      </c>
      <c r="AH39" s="11">
        <f>IF(ISERROR(FIND("  ",Calculate_Technical_Metadata___Column[[#This Row],[Updated By]], 1))=TRUE, 1, 0)</f>
        <v>1</v>
      </c>
      <c r="AJ39">
        <f>IF(OR(Calculate_Technical_Metadata___Column[[#This Row],[Data Zone (MDZ/GDZ)]]="GDZ",Calculate_Technical_Metadata___Column[[#This Row],[Data Zone (MDZ/GDZ)]]= "MDZ",Calculate_Technical_Metadata___Column[[#This Row],[Data Zone (MDZ/GDZ)]]= "INVX Data Lake")=TRUE, 1, 0)</f>
        <v>1</v>
      </c>
      <c r="AK39" s="11">
        <f>IF(OR(Calculate_Technical_Metadata___Column[[#This Row],[PII/Non-PII]]="PII",Calculate_Technical_Metadata___Column[[#This Row],[PII/Non-PII]]= "Non-PII")=TRUE, 1, 0)</f>
        <v>1</v>
      </c>
      <c r="AL39" s="11" t="str">
        <f xml:space="preserve"> IF(ISERROR(FIND("(",Calculate_Technical_Metadata___Column[[#This Row],[Type]], 1)) = FALSE, _xlfn.TEXTBEFORE(Calculate_Technical_Metadata___Column[[#This Row],[Type]], "("),Calculate_Technical_Metadata___Column[[#This Row],[Type]])</f>
        <v>integer</v>
      </c>
      <c r="AM39" s="11">
        <f>IF(COUNTIF(Type!A:A,Calculate_Technical_Metadata___Column[[#This Row],[Type]]) &gt; 0, 1, 0)</f>
        <v>1</v>
      </c>
      <c r="AN39" s="13">
        <f>IF(OR(Calculate_Technical_Metadata___Column[[#This Row],[Nullable]]="Yes",Calculate_Technical_Metadata___Column[[#This Row],[Nullable]]="No")=TRUE, 1, 0)</f>
        <v>1</v>
      </c>
    </row>
    <row r="40" spans="1:40" x14ac:dyDescent="0.3">
      <c r="A40" s="73" t="s">
        <v>469</v>
      </c>
      <c r="B40" s="73" t="s">
        <v>39</v>
      </c>
      <c r="C40" s="73" t="s">
        <v>470</v>
      </c>
      <c r="D40" s="73" t="s">
        <v>480</v>
      </c>
      <c r="E40" t="s">
        <v>42</v>
      </c>
      <c r="F40" s="73" t="s">
        <v>43</v>
      </c>
      <c r="G40" s="73" t="s">
        <v>76</v>
      </c>
      <c r="H40" s="73" t="s">
        <v>55</v>
      </c>
      <c r="I40" t="s">
        <v>47</v>
      </c>
      <c r="J40" s="73" t="s">
        <v>48</v>
      </c>
      <c r="K40" s="71">
        <v>45372</v>
      </c>
      <c r="L40" s="73" t="s">
        <v>49</v>
      </c>
      <c r="N40" s="11">
        <f>IF(ISBLANK(Calculate_Technical_Metadata___Column[[#This Row],[System/Data Subject Area Name]])=TRUE, 0, 1)</f>
        <v>1</v>
      </c>
      <c r="O40" s="11">
        <f>IF(ISBLANK(Calculate_Technical_Metadata___Column[[#This Row],[Schema/Database Name]])=TRUE, 0, 1)</f>
        <v>1</v>
      </c>
      <c r="P40" s="11">
        <f>IF(ISBLANK(Calculate_Technical_Metadata___Column[[#This Row],[Data Set Name]])=TRUE, 0, 1)</f>
        <v>1</v>
      </c>
      <c r="Q40" s="11">
        <f>IF(ISBLANK(Calculate_Technical_Metadata___Column[[#This Row],[Column Name]])=TRUE, 0, 1)</f>
        <v>1</v>
      </c>
      <c r="R40" s="11">
        <f>IF(ISBLANK(Calculate_Technical_Metadata___Column[[#This Row],[Data Zone (MDZ/GDZ)]])=TRUE, 0, 1)</f>
        <v>1</v>
      </c>
      <c r="S40" s="11">
        <f>IF(ISBLANK(Calculate_Technical_Metadata___Column[[#This Row],[PII/Non-PII]])=TRUE, 0, 1)</f>
        <v>1</v>
      </c>
      <c r="T40" s="11">
        <f>IF(ISBLANK(Calculate_Technical_Metadata___Column[[#This Row],[Type]])=TRUE, 0, 1)</f>
        <v>1</v>
      </c>
      <c r="U40" s="11">
        <f>IF(ISBLANK(Calculate_Technical_Metadata___Column[[#This Row],[Format]])=TRUE, 0, 1)</f>
        <v>1</v>
      </c>
      <c r="V40" s="11">
        <f>IF(ISBLANK(Calculate_Technical_Metadata___Column[[#This Row],[Nullable]])=TRUE, 0, 1)</f>
        <v>1</v>
      </c>
      <c r="W40" s="11">
        <f>IF(ISBLANK(Calculate_Technical_Metadata___Column[[#This Row],[Updated Date ]])=TRUE, 0, 1)</f>
        <v>1</v>
      </c>
      <c r="X40" s="11">
        <f>IF(ISBLANK(Calculate_Technical_Metadata___Column[[#This Row],[Updated By]])=TRUE, 0, 1)</f>
        <v>1</v>
      </c>
      <c r="Z40">
        <f>IF(COUNTIFS('Cal_Technical - Data Set'!A:A, Calculate_Technical_Metadata___Column[[#This Row],[Data Set Name]]) &gt; 0, 1,0)</f>
        <v>1</v>
      </c>
      <c r="AB40">
        <f>IF( COUNTIFS(C:C, Calculate_Technical_Metadata___Column[[#This Row],[Data Set Name]], D:D, Calculate_Technical_Metadata___Column[[#This Row],[Column Name]], A:A, Calculate_Technical_Metadata___Column[[#This Row],[System/Data Subject Area Name]], B:B, Calculate_Technical_Metadata___Column[[#This Row],[Schema/Database Name]]) &lt;&gt; 1, 0, 1)</f>
        <v>1</v>
      </c>
      <c r="AD40" s="11">
        <f>IF(ISERROR(FIND("  ",Calculate_Technical_Metadata___Column[[#This Row],[System/Data Subject Area Name]], 1))=TRUE, 1, 0)</f>
        <v>1</v>
      </c>
      <c r="AE40" s="11">
        <f>IF(ISERROR(FIND(" ",Calculate_Technical_Metadata___Column[[#This Row],[Schema/Database Name]], 1))=TRUE, 1, 0)</f>
        <v>1</v>
      </c>
      <c r="AF40" s="11">
        <f>IF(OR(ISERROR(FIND(" ",Calculate_Technical_Metadata___Column[[#This Row],[Data Set Name]], 1))=TRUE, ISERROR(FIND("__",Calculate_Technical_Metadata___Column[[#This Row],[Data Set Name]], 1))=TRUE)=TRUE, 1, 0)</f>
        <v>1</v>
      </c>
      <c r="AG40" s="11">
        <f>IF(ISERROR(FIND(" ",Calculate_Technical_Metadata___Column[[#This Row],[Column Name]], 1))=TRUE, 1, 0)</f>
        <v>1</v>
      </c>
      <c r="AH40" s="11">
        <f>IF(ISERROR(FIND("  ",Calculate_Technical_Metadata___Column[[#This Row],[Updated By]], 1))=TRUE, 1, 0)</f>
        <v>1</v>
      </c>
      <c r="AJ40">
        <f>IF(OR(Calculate_Technical_Metadata___Column[[#This Row],[Data Zone (MDZ/GDZ)]]="GDZ",Calculate_Technical_Metadata___Column[[#This Row],[Data Zone (MDZ/GDZ)]]= "MDZ",Calculate_Technical_Metadata___Column[[#This Row],[Data Zone (MDZ/GDZ)]]= "INVX Data Lake")=TRUE, 1, 0)</f>
        <v>1</v>
      </c>
      <c r="AK40" s="11">
        <f>IF(OR(Calculate_Technical_Metadata___Column[[#This Row],[PII/Non-PII]]="PII",Calculate_Technical_Metadata___Column[[#This Row],[PII/Non-PII]]= "Non-PII")=TRUE, 1, 0)</f>
        <v>1</v>
      </c>
      <c r="AL40" s="11" t="str">
        <f xml:space="preserve"> IF(ISERROR(FIND("(",Calculate_Technical_Metadata___Column[[#This Row],[Type]], 1)) = FALSE, _xlfn.TEXTBEFORE(Calculate_Technical_Metadata___Column[[#This Row],[Type]], "("),Calculate_Technical_Metadata___Column[[#This Row],[Type]])</f>
        <v>integer</v>
      </c>
      <c r="AM40" s="11">
        <f>IF(COUNTIF(Type!A:A,Calculate_Technical_Metadata___Column[[#This Row],[Type]]) &gt; 0, 1, 0)</f>
        <v>1</v>
      </c>
      <c r="AN40" s="13">
        <f>IF(OR(Calculate_Technical_Metadata___Column[[#This Row],[Nullable]]="Yes",Calculate_Technical_Metadata___Column[[#This Row],[Nullable]]="No")=TRUE, 1, 0)</f>
        <v>1</v>
      </c>
    </row>
    <row r="41" spans="1:40" x14ac:dyDescent="0.3">
      <c r="A41" s="73" t="s">
        <v>469</v>
      </c>
      <c r="B41" s="73" t="s">
        <v>39</v>
      </c>
      <c r="C41" s="73" t="s">
        <v>470</v>
      </c>
      <c r="D41" s="73" t="s">
        <v>481</v>
      </c>
      <c r="E41" t="s">
        <v>42</v>
      </c>
      <c r="F41" s="73" t="s">
        <v>43</v>
      </c>
      <c r="G41" s="73" t="s">
        <v>76</v>
      </c>
      <c r="H41" s="73" t="s">
        <v>55</v>
      </c>
      <c r="I41" t="s">
        <v>47</v>
      </c>
      <c r="J41" s="73" t="s">
        <v>48</v>
      </c>
      <c r="K41" s="71">
        <v>45372</v>
      </c>
      <c r="L41" s="73" t="s">
        <v>49</v>
      </c>
      <c r="N41" s="11">
        <f>IF(ISBLANK(Calculate_Technical_Metadata___Column[[#This Row],[System/Data Subject Area Name]])=TRUE, 0, 1)</f>
        <v>1</v>
      </c>
      <c r="O41" s="11">
        <f>IF(ISBLANK(Calculate_Technical_Metadata___Column[[#This Row],[Schema/Database Name]])=TRUE, 0, 1)</f>
        <v>1</v>
      </c>
      <c r="P41" s="11">
        <f>IF(ISBLANK(Calculate_Technical_Metadata___Column[[#This Row],[Data Set Name]])=TRUE, 0, 1)</f>
        <v>1</v>
      </c>
      <c r="Q41" s="11">
        <f>IF(ISBLANK(Calculate_Technical_Metadata___Column[[#This Row],[Column Name]])=TRUE, 0, 1)</f>
        <v>1</v>
      </c>
      <c r="R41" s="11">
        <f>IF(ISBLANK(Calculate_Technical_Metadata___Column[[#This Row],[Data Zone (MDZ/GDZ)]])=TRUE, 0, 1)</f>
        <v>1</v>
      </c>
      <c r="S41" s="11">
        <f>IF(ISBLANK(Calculate_Technical_Metadata___Column[[#This Row],[PII/Non-PII]])=TRUE, 0, 1)</f>
        <v>1</v>
      </c>
      <c r="T41" s="11">
        <f>IF(ISBLANK(Calculate_Technical_Metadata___Column[[#This Row],[Type]])=TRUE, 0, 1)</f>
        <v>1</v>
      </c>
      <c r="U41" s="11">
        <f>IF(ISBLANK(Calculate_Technical_Metadata___Column[[#This Row],[Format]])=TRUE, 0, 1)</f>
        <v>1</v>
      </c>
      <c r="V41" s="11">
        <f>IF(ISBLANK(Calculate_Technical_Metadata___Column[[#This Row],[Nullable]])=TRUE, 0, 1)</f>
        <v>1</v>
      </c>
      <c r="W41" s="11">
        <f>IF(ISBLANK(Calculate_Technical_Metadata___Column[[#This Row],[Updated Date ]])=TRUE, 0, 1)</f>
        <v>1</v>
      </c>
      <c r="X41" s="11">
        <f>IF(ISBLANK(Calculate_Technical_Metadata___Column[[#This Row],[Updated By]])=TRUE, 0, 1)</f>
        <v>1</v>
      </c>
      <c r="Z41">
        <f>IF(COUNTIFS('Cal_Technical - Data Set'!A:A, Calculate_Technical_Metadata___Column[[#This Row],[Data Set Name]]) &gt; 0, 1,0)</f>
        <v>1</v>
      </c>
      <c r="AB41">
        <f>IF( COUNTIFS(C:C, Calculate_Technical_Metadata___Column[[#This Row],[Data Set Name]], D:D, Calculate_Technical_Metadata___Column[[#This Row],[Column Name]], A:A, Calculate_Technical_Metadata___Column[[#This Row],[System/Data Subject Area Name]], B:B, Calculate_Technical_Metadata___Column[[#This Row],[Schema/Database Name]]) &lt;&gt; 1, 0, 1)</f>
        <v>1</v>
      </c>
      <c r="AD41" s="11">
        <f>IF(ISERROR(FIND("  ",Calculate_Technical_Metadata___Column[[#This Row],[System/Data Subject Area Name]], 1))=TRUE, 1, 0)</f>
        <v>1</v>
      </c>
      <c r="AE41" s="11">
        <f>IF(ISERROR(FIND(" ",Calculate_Technical_Metadata___Column[[#This Row],[Schema/Database Name]], 1))=TRUE, 1, 0)</f>
        <v>1</v>
      </c>
      <c r="AF41" s="11">
        <f>IF(OR(ISERROR(FIND(" ",Calculate_Technical_Metadata___Column[[#This Row],[Data Set Name]], 1))=TRUE, ISERROR(FIND("__",Calculate_Technical_Metadata___Column[[#This Row],[Data Set Name]], 1))=TRUE)=TRUE, 1, 0)</f>
        <v>1</v>
      </c>
      <c r="AG41" s="11">
        <f>IF(ISERROR(FIND(" ",Calculate_Technical_Metadata___Column[[#This Row],[Column Name]], 1))=TRUE, 1, 0)</f>
        <v>1</v>
      </c>
      <c r="AH41" s="11">
        <f>IF(ISERROR(FIND("  ",Calculate_Technical_Metadata___Column[[#This Row],[Updated By]], 1))=TRUE, 1, 0)</f>
        <v>1</v>
      </c>
      <c r="AJ41">
        <f>IF(OR(Calculate_Technical_Metadata___Column[[#This Row],[Data Zone (MDZ/GDZ)]]="GDZ",Calculate_Technical_Metadata___Column[[#This Row],[Data Zone (MDZ/GDZ)]]= "MDZ",Calculate_Technical_Metadata___Column[[#This Row],[Data Zone (MDZ/GDZ)]]= "INVX Data Lake")=TRUE, 1, 0)</f>
        <v>1</v>
      </c>
      <c r="AK41" s="11">
        <f>IF(OR(Calculate_Technical_Metadata___Column[[#This Row],[PII/Non-PII]]="PII",Calculate_Technical_Metadata___Column[[#This Row],[PII/Non-PII]]= "Non-PII")=TRUE, 1, 0)</f>
        <v>1</v>
      </c>
      <c r="AL41" s="11" t="str">
        <f xml:space="preserve"> IF(ISERROR(FIND("(",Calculate_Technical_Metadata___Column[[#This Row],[Type]], 1)) = FALSE, _xlfn.TEXTBEFORE(Calculate_Technical_Metadata___Column[[#This Row],[Type]], "("),Calculate_Technical_Metadata___Column[[#This Row],[Type]])</f>
        <v>integer</v>
      </c>
      <c r="AM41" s="11">
        <f>IF(COUNTIF(Type!A:A,Calculate_Technical_Metadata___Column[[#This Row],[Type]]) &gt; 0, 1, 0)</f>
        <v>1</v>
      </c>
      <c r="AN41" s="13">
        <f>IF(OR(Calculate_Technical_Metadata___Column[[#This Row],[Nullable]]="Yes",Calculate_Technical_Metadata___Column[[#This Row],[Nullable]]="No")=TRUE, 1, 0)</f>
        <v>1</v>
      </c>
    </row>
    <row r="42" spans="1:40" x14ac:dyDescent="0.3">
      <c r="A42" s="73" t="s">
        <v>469</v>
      </c>
      <c r="B42" s="73" t="s">
        <v>39</v>
      </c>
      <c r="C42" s="73" t="s">
        <v>470</v>
      </c>
      <c r="D42" s="73" t="s">
        <v>482</v>
      </c>
      <c r="E42" t="s">
        <v>42</v>
      </c>
      <c r="F42" s="73" t="s">
        <v>43</v>
      </c>
      <c r="G42" s="73" t="s">
        <v>76</v>
      </c>
      <c r="H42" s="73" t="s">
        <v>55</v>
      </c>
      <c r="I42" t="s">
        <v>47</v>
      </c>
      <c r="J42" s="73" t="s">
        <v>48</v>
      </c>
      <c r="K42" s="71">
        <v>45372</v>
      </c>
      <c r="L42" s="73" t="s">
        <v>49</v>
      </c>
      <c r="N42" s="11">
        <f>IF(ISBLANK(Calculate_Technical_Metadata___Column[[#This Row],[System/Data Subject Area Name]])=TRUE, 0, 1)</f>
        <v>1</v>
      </c>
      <c r="O42" s="11">
        <f>IF(ISBLANK(Calculate_Technical_Metadata___Column[[#This Row],[Schema/Database Name]])=TRUE, 0, 1)</f>
        <v>1</v>
      </c>
      <c r="P42" s="11">
        <f>IF(ISBLANK(Calculate_Technical_Metadata___Column[[#This Row],[Data Set Name]])=TRUE, 0, 1)</f>
        <v>1</v>
      </c>
      <c r="Q42" s="11">
        <f>IF(ISBLANK(Calculate_Technical_Metadata___Column[[#This Row],[Column Name]])=TRUE, 0, 1)</f>
        <v>1</v>
      </c>
      <c r="R42" s="11">
        <f>IF(ISBLANK(Calculate_Technical_Metadata___Column[[#This Row],[Data Zone (MDZ/GDZ)]])=TRUE, 0, 1)</f>
        <v>1</v>
      </c>
      <c r="S42" s="11">
        <f>IF(ISBLANK(Calculate_Technical_Metadata___Column[[#This Row],[PII/Non-PII]])=TRUE, 0, 1)</f>
        <v>1</v>
      </c>
      <c r="T42" s="11">
        <f>IF(ISBLANK(Calculate_Technical_Metadata___Column[[#This Row],[Type]])=TRUE, 0, 1)</f>
        <v>1</v>
      </c>
      <c r="U42" s="11">
        <f>IF(ISBLANK(Calculate_Technical_Metadata___Column[[#This Row],[Format]])=TRUE, 0, 1)</f>
        <v>1</v>
      </c>
      <c r="V42" s="11">
        <f>IF(ISBLANK(Calculate_Technical_Metadata___Column[[#This Row],[Nullable]])=TRUE, 0, 1)</f>
        <v>1</v>
      </c>
      <c r="W42" s="11">
        <f>IF(ISBLANK(Calculate_Technical_Metadata___Column[[#This Row],[Updated Date ]])=TRUE, 0, 1)</f>
        <v>1</v>
      </c>
      <c r="X42" s="11">
        <f>IF(ISBLANK(Calculate_Technical_Metadata___Column[[#This Row],[Updated By]])=TRUE, 0, 1)</f>
        <v>1</v>
      </c>
      <c r="Z42">
        <f>IF(COUNTIFS('Cal_Technical - Data Set'!A:A, Calculate_Technical_Metadata___Column[[#This Row],[Data Set Name]]) &gt; 0, 1,0)</f>
        <v>1</v>
      </c>
      <c r="AB42">
        <f>IF( COUNTIFS(C:C, Calculate_Technical_Metadata___Column[[#This Row],[Data Set Name]], D:D, Calculate_Technical_Metadata___Column[[#This Row],[Column Name]], A:A, Calculate_Technical_Metadata___Column[[#This Row],[System/Data Subject Area Name]], B:B, Calculate_Technical_Metadata___Column[[#This Row],[Schema/Database Name]]) &lt;&gt; 1, 0, 1)</f>
        <v>1</v>
      </c>
      <c r="AD42" s="11">
        <f>IF(ISERROR(FIND("  ",Calculate_Technical_Metadata___Column[[#This Row],[System/Data Subject Area Name]], 1))=TRUE, 1, 0)</f>
        <v>1</v>
      </c>
      <c r="AE42" s="11">
        <f>IF(ISERROR(FIND(" ",Calculate_Technical_Metadata___Column[[#This Row],[Schema/Database Name]], 1))=TRUE, 1, 0)</f>
        <v>1</v>
      </c>
      <c r="AF42" s="11">
        <f>IF(OR(ISERROR(FIND(" ",Calculate_Technical_Metadata___Column[[#This Row],[Data Set Name]], 1))=TRUE, ISERROR(FIND("__",Calculate_Technical_Metadata___Column[[#This Row],[Data Set Name]], 1))=TRUE)=TRUE, 1, 0)</f>
        <v>1</v>
      </c>
      <c r="AG42" s="11">
        <f>IF(ISERROR(FIND(" ",Calculate_Technical_Metadata___Column[[#This Row],[Column Name]], 1))=TRUE, 1, 0)</f>
        <v>1</v>
      </c>
      <c r="AH42" s="11">
        <f>IF(ISERROR(FIND("  ",Calculate_Technical_Metadata___Column[[#This Row],[Updated By]], 1))=TRUE, 1, 0)</f>
        <v>1</v>
      </c>
      <c r="AJ42">
        <f>IF(OR(Calculate_Technical_Metadata___Column[[#This Row],[Data Zone (MDZ/GDZ)]]="GDZ",Calculate_Technical_Metadata___Column[[#This Row],[Data Zone (MDZ/GDZ)]]= "MDZ",Calculate_Technical_Metadata___Column[[#This Row],[Data Zone (MDZ/GDZ)]]= "INVX Data Lake")=TRUE, 1, 0)</f>
        <v>1</v>
      </c>
      <c r="AK42" s="11">
        <f>IF(OR(Calculate_Technical_Metadata___Column[[#This Row],[PII/Non-PII]]="PII",Calculate_Technical_Metadata___Column[[#This Row],[PII/Non-PII]]= "Non-PII")=TRUE, 1, 0)</f>
        <v>1</v>
      </c>
      <c r="AL42" s="11" t="str">
        <f xml:space="preserve"> IF(ISERROR(FIND("(",Calculate_Technical_Metadata___Column[[#This Row],[Type]], 1)) = FALSE, _xlfn.TEXTBEFORE(Calculate_Technical_Metadata___Column[[#This Row],[Type]], "("),Calculate_Technical_Metadata___Column[[#This Row],[Type]])</f>
        <v>integer</v>
      </c>
      <c r="AM42" s="11">
        <f>IF(COUNTIF(Type!A:A,Calculate_Technical_Metadata___Column[[#This Row],[Type]]) &gt; 0, 1, 0)</f>
        <v>1</v>
      </c>
      <c r="AN42" s="13">
        <f>IF(OR(Calculate_Technical_Metadata___Column[[#This Row],[Nullable]]="Yes",Calculate_Technical_Metadata___Column[[#This Row],[Nullable]]="No")=TRUE, 1, 0)</f>
        <v>1</v>
      </c>
    </row>
    <row r="43" spans="1:40" x14ac:dyDescent="0.3">
      <c r="A43" s="73" t="s">
        <v>469</v>
      </c>
      <c r="B43" s="73" t="s">
        <v>39</v>
      </c>
      <c r="C43" s="73" t="s">
        <v>470</v>
      </c>
      <c r="D43" s="73" t="s">
        <v>483</v>
      </c>
      <c r="E43" t="s">
        <v>42</v>
      </c>
      <c r="F43" s="73" t="s">
        <v>43</v>
      </c>
      <c r="G43" s="73" t="s">
        <v>45</v>
      </c>
      <c r="H43" s="73" t="s">
        <v>472</v>
      </c>
      <c r="I43" t="s">
        <v>47</v>
      </c>
      <c r="J43" s="73" t="s">
        <v>52</v>
      </c>
      <c r="K43" s="71">
        <v>45372</v>
      </c>
      <c r="L43" s="73" t="s">
        <v>49</v>
      </c>
      <c r="N43" s="11">
        <f>IF(ISBLANK(Calculate_Technical_Metadata___Column[[#This Row],[System/Data Subject Area Name]])=TRUE, 0, 1)</f>
        <v>1</v>
      </c>
      <c r="O43" s="11">
        <f>IF(ISBLANK(Calculate_Technical_Metadata___Column[[#This Row],[Schema/Database Name]])=TRUE, 0, 1)</f>
        <v>1</v>
      </c>
      <c r="P43" s="11">
        <f>IF(ISBLANK(Calculate_Technical_Metadata___Column[[#This Row],[Data Set Name]])=TRUE, 0, 1)</f>
        <v>1</v>
      </c>
      <c r="Q43" s="11">
        <f>IF(ISBLANK(Calculate_Technical_Metadata___Column[[#This Row],[Column Name]])=TRUE, 0, 1)</f>
        <v>1</v>
      </c>
      <c r="R43" s="11">
        <f>IF(ISBLANK(Calculate_Technical_Metadata___Column[[#This Row],[Data Zone (MDZ/GDZ)]])=TRUE, 0, 1)</f>
        <v>1</v>
      </c>
      <c r="S43" s="11">
        <f>IF(ISBLANK(Calculate_Technical_Metadata___Column[[#This Row],[PII/Non-PII]])=TRUE, 0, 1)</f>
        <v>1</v>
      </c>
      <c r="T43" s="11">
        <f>IF(ISBLANK(Calculate_Technical_Metadata___Column[[#This Row],[Type]])=TRUE, 0, 1)</f>
        <v>1</v>
      </c>
      <c r="U43" s="11">
        <f>IF(ISBLANK(Calculate_Technical_Metadata___Column[[#This Row],[Format]])=TRUE, 0, 1)</f>
        <v>1</v>
      </c>
      <c r="V43" s="11">
        <f>IF(ISBLANK(Calculate_Technical_Metadata___Column[[#This Row],[Nullable]])=TRUE, 0, 1)</f>
        <v>1</v>
      </c>
      <c r="W43" s="11">
        <f>IF(ISBLANK(Calculate_Technical_Metadata___Column[[#This Row],[Updated Date ]])=TRUE, 0, 1)</f>
        <v>1</v>
      </c>
      <c r="X43" s="11">
        <f>IF(ISBLANK(Calculate_Technical_Metadata___Column[[#This Row],[Updated By]])=TRUE, 0, 1)</f>
        <v>1</v>
      </c>
      <c r="Z43">
        <f>IF(COUNTIFS('Cal_Technical - Data Set'!A:A, Calculate_Technical_Metadata___Column[[#This Row],[Data Set Name]]) &gt; 0, 1,0)</f>
        <v>1</v>
      </c>
      <c r="AB43">
        <f>IF( COUNTIFS(C:C, Calculate_Technical_Metadata___Column[[#This Row],[Data Set Name]], D:D, Calculate_Technical_Metadata___Column[[#This Row],[Column Name]], A:A, Calculate_Technical_Metadata___Column[[#This Row],[System/Data Subject Area Name]], B:B, Calculate_Technical_Metadata___Column[[#This Row],[Schema/Database Name]]) &lt;&gt; 1, 0, 1)</f>
        <v>1</v>
      </c>
      <c r="AD43" s="11">
        <f>IF(ISERROR(FIND("  ",Calculate_Technical_Metadata___Column[[#This Row],[System/Data Subject Area Name]], 1))=TRUE, 1, 0)</f>
        <v>1</v>
      </c>
      <c r="AE43" s="11">
        <f>IF(ISERROR(FIND(" ",Calculate_Technical_Metadata___Column[[#This Row],[Schema/Database Name]], 1))=TRUE, 1, 0)</f>
        <v>1</v>
      </c>
      <c r="AF43" s="11">
        <f>IF(OR(ISERROR(FIND(" ",Calculate_Technical_Metadata___Column[[#This Row],[Data Set Name]], 1))=TRUE, ISERROR(FIND("__",Calculate_Technical_Metadata___Column[[#This Row],[Data Set Name]], 1))=TRUE)=TRUE, 1, 0)</f>
        <v>1</v>
      </c>
      <c r="AG43" s="11">
        <f>IF(ISERROR(FIND(" ",Calculate_Technical_Metadata___Column[[#This Row],[Column Name]], 1))=TRUE, 1, 0)</f>
        <v>1</v>
      </c>
      <c r="AH43" s="11">
        <f>IF(ISERROR(FIND("  ",Calculate_Technical_Metadata___Column[[#This Row],[Updated By]], 1))=TRUE, 1, 0)</f>
        <v>1</v>
      </c>
      <c r="AJ43">
        <f>IF(OR(Calculate_Technical_Metadata___Column[[#This Row],[Data Zone (MDZ/GDZ)]]="GDZ",Calculate_Technical_Metadata___Column[[#This Row],[Data Zone (MDZ/GDZ)]]= "MDZ",Calculate_Technical_Metadata___Column[[#This Row],[Data Zone (MDZ/GDZ)]]= "INVX Data Lake")=TRUE, 1, 0)</f>
        <v>1</v>
      </c>
      <c r="AK43" s="11">
        <f>IF(OR(Calculate_Technical_Metadata___Column[[#This Row],[PII/Non-PII]]="PII",Calculate_Technical_Metadata___Column[[#This Row],[PII/Non-PII]]= "Non-PII")=TRUE, 1, 0)</f>
        <v>1</v>
      </c>
      <c r="AL43" s="11" t="str">
        <f xml:space="preserve"> IF(ISERROR(FIND("(",Calculate_Technical_Metadata___Column[[#This Row],[Type]], 1)) = FALSE, _xlfn.TEXTBEFORE(Calculate_Technical_Metadata___Column[[#This Row],[Type]], "("),Calculate_Technical_Metadata___Column[[#This Row],[Type]])</f>
        <v>string</v>
      </c>
      <c r="AM43" s="11">
        <f>IF(COUNTIF(Type!A:A,Calculate_Technical_Metadata___Column[[#This Row],[Type]]) &gt; 0, 1, 0)</f>
        <v>1</v>
      </c>
      <c r="AN43" s="13">
        <f>IF(OR(Calculate_Technical_Metadata___Column[[#This Row],[Nullable]]="Yes",Calculate_Technical_Metadata___Column[[#This Row],[Nullable]]="No")=TRUE, 1, 0)</f>
        <v>1</v>
      </c>
    </row>
    <row r="44" spans="1:40" x14ac:dyDescent="0.3">
      <c r="A44" s="73" t="s">
        <v>469</v>
      </c>
      <c r="B44" s="73" t="s">
        <v>39</v>
      </c>
      <c r="C44" s="73" t="s">
        <v>470</v>
      </c>
      <c r="D44" s="73" t="s">
        <v>484</v>
      </c>
      <c r="E44" t="s">
        <v>42</v>
      </c>
      <c r="F44" s="73" t="s">
        <v>43</v>
      </c>
      <c r="G44" s="73" t="s">
        <v>346</v>
      </c>
      <c r="H44" s="73" t="s">
        <v>89</v>
      </c>
      <c r="I44" t="s">
        <v>90</v>
      </c>
      <c r="J44" s="73" t="s">
        <v>52</v>
      </c>
      <c r="K44" s="71">
        <v>45372</v>
      </c>
      <c r="L44" s="73" t="s">
        <v>49</v>
      </c>
      <c r="N44" s="11">
        <f>IF(ISBLANK(Calculate_Technical_Metadata___Column[[#This Row],[System/Data Subject Area Name]])=TRUE, 0, 1)</f>
        <v>1</v>
      </c>
      <c r="O44" s="11">
        <f>IF(ISBLANK(Calculate_Technical_Metadata___Column[[#This Row],[Schema/Database Name]])=TRUE, 0, 1)</f>
        <v>1</v>
      </c>
      <c r="P44" s="11">
        <f>IF(ISBLANK(Calculate_Technical_Metadata___Column[[#This Row],[Data Set Name]])=TRUE, 0, 1)</f>
        <v>1</v>
      </c>
      <c r="Q44" s="11">
        <f>IF(ISBLANK(Calculate_Technical_Metadata___Column[[#This Row],[Column Name]])=TRUE, 0, 1)</f>
        <v>1</v>
      </c>
      <c r="R44" s="11">
        <f>IF(ISBLANK(Calculate_Technical_Metadata___Column[[#This Row],[Data Zone (MDZ/GDZ)]])=TRUE, 0, 1)</f>
        <v>1</v>
      </c>
      <c r="S44" s="11">
        <f>IF(ISBLANK(Calculate_Technical_Metadata___Column[[#This Row],[PII/Non-PII]])=TRUE, 0, 1)</f>
        <v>1</v>
      </c>
      <c r="T44" s="11">
        <f>IF(ISBLANK(Calculate_Technical_Metadata___Column[[#This Row],[Type]])=TRUE, 0, 1)</f>
        <v>1</v>
      </c>
      <c r="U44" s="11">
        <f>IF(ISBLANK(Calculate_Technical_Metadata___Column[[#This Row],[Format]])=TRUE, 0, 1)</f>
        <v>1</v>
      </c>
      <c r="V44" s="11">
        <f>IF(ISBLANK(Calculate_Technical_Metadata___Column[[#This Row],[Nullable]])=TRUE, 0, 1)</f>
        <v>1</v>
      </c>
      <c r="W44" s="11">
        <f>IF(ISBLANK(Calculate_Technical_Metadata___Column[[#This Row],[Updated Date ]])=TRUE, 0, 1)</f>
        <v>1</v>
      </c>
      <c r="X44" s="11">
        <f>IF(ISBLANK(Calculate_Technical_Metadata___Column[[#This Row],[Updated By]])=TRUE, 0, 1)</f>
        <v>1</v>
      </c>
      <c r="Z44">
        <f>IF(COUNTIFS('Cal_Technical - Data Set'!A:A, Calculate_Technical_Metadata___Column[[#This Row],[Data Set Name]]) &gt; 0, 1,0)</f>
        <v>1</v>
      </c>
      <c r="AB44">
        <f>IF( COUNTIFS(C:C, Calculate_Technical_Metadata___Column[[#This Row],[Data Set Name]], D:D, Calculate_Technical_Metadata___Column[[#This Row],[Column Name]], A:A, Calculate_Technical_Metadata___Column[[#This Row],[System/Data Subject Area Name]], B:B, Calculate_Technical_Metadata___Column[[#This Row],[Schema/Database Name]]) &lt;&gt; 1, 0, 1)</f>
        <v>1</v>
      </c>
      <c r="AD44" s="11">
        <f>IF(ISERROR(FIND("  ",Calculate_Technical_Metadata___Column[[#This Row],[System/Data Subject Area Name]], 1))=TRUE, 1, 0)</f>
        <v>1</v>
      </c>
      <c r="AE44" s="11">
        <f>IF(ISERROR(FIND(" ",Calculate_Technical_Metadata___Column[[#This Row],[Schema/Database Name]], 1))=TRUE, 1, 0)</f>
        <v>1</v>
      </c>
      <c r="AF44" s="11">
        <f>IF(OR(ISERROR(FIND(" ",Calculate_Technical_Metadata___Column[[#This Row],[Data Set Name]], 1))=TRUE, ISERROR(FIND("__",Calculate_Technical_Metadata___Column[[#This Row],[Data Set Name]], 1))=TRUE)=TRUE, 1, 0)</f>
        <v>1</v>
      </c>
      <c r="AG44" s="11">
        <f>IF(ISERROR(FIND(" ",Calculate_Technical_Metadata___Column[[#This Row],[Column Name]], 1))=TRUE, 1, 0)</f>
        <v>1</v>
      </c>
      <c r="AH44" s="11">
        <f>IF(ISERROR(FIND("  ",Calculate_Technical_Metadata___Column[[#This Row],[Updated By]], 1))=TRUE, 1, 0)</f>
        <v>1</v>
      </c>
      <c r="AJ44">
        <f>IF(OR(Calculate_Technical_Metadata___Column[[#This Row],[Data Zone (MDZ/GDZ)]]="GDZ",Calculate_Technical_Metadata___Column[[#This Row],[Data Zone (MDZ/GDZ)]]= "MDZ",Calculate_Technical_Metadata___Column[[#This Row],[Data Zone (MDZ/GDZ)]]= "INVX Data Lake")=TRUE, 1, 0)</f>
        <v>1</v>
      </c>
      <c r="AK44" s="11">
        <f>IF(OR(Calculate_Technical_Metadata___Column[[#This Row],[PII/Non-PII]]="PII",Calculate_Technical_Metadata___Column[[#This Row],[PII/Non-PII]]= "Non-PII")=TRUE, 1, 0)</f>
        <v>1</v>
      </c>
      <c r="AL44" s="11" t="str">
        <f xml:space="preserve"> IF(ISERROR(FIND("(",Calculate_Technical_Metadata___Column[[#This Row],[Type]], 1)) = FALSE, _xlfn.TEXTBEFORE(Calculate_Technical_Metadata___Column[[#This Row],[Type]], "("),Calculate_Technical_Metadata___Column[[#This Row],[Type]])</f>
        <v>decimal</v>
      </c>
      <c r="AM44" s="11">
        <f>IF(COUNTIF(Type!A:A,Calculate_Technical_Metadata___Column[[#This Row],[Type]]) &gt; 0, 1, 0)</f>
        <v>1</v>
      </c>
      <c r="AN44" s="13">
        <f>IF(OR(Calculate_Technical_Metadata___Column[[#This Row],[Nullable]]="Yes",Calculate_Technical_Metadata___Column[[#This Row],[Nullable]]="No")=TRUE, 1, 0)</f>
        <v>1</v>
      </c>
    </row>
    <row r="45" spans="1:40" x14ac:dyDescent="0.3">
      <c r="A45" s="73" t="s">
        <v>469</v>
      </c>
      <c r="B45" s="73" t="s">
        <v>39</v>
      </c>
      <c r="C45" s="73" t="s">
        <v>470</v>
      </c>
      <c r="D45" s="73" t="s">
        <v>485</v>
      </c>
      <c r="E45" t="s">
        <v>42</v>
      </c>
      <c r="F45" s="73" t="s">
        <v>43</v>
      </c>
      <c r="G45" s="73" t="s">
        <v>346</v>
      </c>
      <c r="H45" s="73" t="s">
        <v>89</v>
      </c>
      <c r="I45" t="s">
        <v>90</v>
      </c>
      <c r="J45" s="73" t="s">
        <v>52</v>
      </c>
      <c r="K45" s="71">
        <v>45372</v>
      </c>
      <c r="L45" s="73" t="s">
        <v>49</v>
      </c>
      <c r="N45" s="11">
        <f>IF(ISBLANK(Calculate_Technical_Metadata___Column[[#This Row],[System/Data Subject Area Name]])=TRUE, 0, 1)</f>
        <v>1</v>
      </c>
      <c r="O45" s="11">
        <f>IF(ISBLANK(Calculate_Technical_Metadata___Column[[#This Row],[Schema/Database Name]])=TRUE, 0, 1)</f>
        <v>1</v>
      </c>
      <c r="P45" s="11">
        <f>IF(ISBLANK(Calculate_Technical_Metadata___Column[[#This Row],[Data Set Name]])=TRUE, 0, 1)</f>
        <v>1</v>
      </c>
      <c r="Q45" s="11">
        <f>IF(ISBLANK(Calculate_Technical_Metadata___Column[[#This Row],[Column Name]])=TRUE, 0, 1)</f>
        <v>1</v>
      </c>
      <c r="R45" s="11">
        <f>IF(ISBLANK(Calculate_Technical_Metadata___Column[[#This Row],[Data Zone (MDZ/GDZ)]])=TRUE, 0, 1)</f>
        <v>1</v>
      </c>
      <c r="S45" s="11">
        <f>IF(ISBLANK(Calculate_Technical_Metadata___Column[[#This Row],[PII/Non-PII]])=TRUE, 0, 1)</f>
        <v>1</v>
      </c>
      <c r="T45" s="11">
        <f>IF(ISBLANK(Calculate_Technical_Metadata___Column[[#This Row],[Type]])=TRUE, 0, 1)</f>
        <v>1</v>
      </c>
      <c r="U45" s="11">
        <f>IF(ISBLANK(Calculate_Technical_Metadata___Column[[#This Row],[Format]])=TRUE, 0, 1)</f>
        <v>1</v>
      </c>
      <c r="V45" s="11">
        <f>IF(ISBLANK(Calculate_Technical_Metadata___Column[[#This Row],[Nullable]])=TRUE, 0, 1)</f>
        <v>1</v>
      </c>
      <c r="W45" s="11">
        <f>IF(ISBLANK(Calculate_Technical_Metadata___Column[[#This Row],[Updated Date ]])=TRUE, 0, 1)</f>
        <v>1</v>
      </c>
      <c r="X45" s="11">
        <f>IF(ISBLANK(Calculate_Technical_Metadata___Column[[#This Row],[Updated By]])=TRUE, 0, 1)</f>
        <v>1</v>
      </c>
      <c r="Z45">
        <f>IF(COUNTIFS('Cal_Technical - Data Set'!A:A, Calculate_Technical_Metadata___Column[[#This Row],[Data Set Name]]) &gt; 0, 1,0)</f>
        <v>1</v>
      </c>
      <c r="AB45">
        <f>IF( COUNTIFS(C:C, Calculate_Technical_Metadata___Column[[#This Row],[Data Set Name]], D:D, Calculate_Technical_Metadata___Column[[#This Row],[Column Name]], A:A, Calculate_Technical_Metadata___Column[[#This Row],[System/Data Subject Area Name]], B:B, Calculate_Technical_Metadata___Column[[#This Row],[Schema/Database Name]]) &lt;&gt; 1, 0, 1)</f>
        <v>1</v>
      </c>
      <c r="AD45" s="11">
        <f>IF(ISERROR(FIND("  ",Calculate_Technical_Metadata___Column[[#This Row],[System/Data Subject Area Name]], 1))=TRUE, 1, 0)</f>
        <v>1</v>
      </c>
      <c r="AE45" s="11">
        <f>IF(ISERROR(FIND(" ",Calculate_Technical_Metadata___Column[[#This Row],[Schema/Database Name]], 1))=TRUE, 1, 0)</f>
        <v>1</v>
      </c>
      <c r="AF45" s="11">
        <f>IF(OR(ISERROR(FIND(" ",Calculate_Technical_Metadata___Column[[#This Row],[Data Set Name]], 1))=TRUE, ISERROR(FIND("__",Calculate_Technical_Metadata___Column[[#This Row],[Data Set Name]], 1))=TRUE)=TRUE, 1, 0)</f>
        <v>1</v>
      </c>
      <c r="AG45" s="11">
        <f>IF(ISERROR(FIND(" ",Calculate_Technical_Metadata___Column[[#This Row],[Column Name]], 1))=TRUE, 1, 0)</f>
        <v>1</v>
      </c>
      <c r="AH45" s="11">
        <f>IF(ISERROR(FIND("  ",Calculate_Technical_Metadata___Column[[#This Row],[Updated By]], 1))=TRUE, 1, 0)</f>
        <v>1</v>
      </c>
      <c r="AJ45">
        <f>IF(OR(Calculate_Technical_Metadata___Column[[#This Row],[Data Zone (MDZ/GDZ)]]="GDZ",Calculate_Technical_Metadata___Column[[#This Row],[Data Zone (MDZ/GDZ)]]= "MDZ",Calculate_Technical_Metadata___Column[[#This Row],[Data Zone (MDZ/GDZ)]]= "INVX Data Lake")=TRUE, 1, 0)</f>
        <v>1</v>
      </c>
      <c r="AK45" s="11">
        <f>IF(OR(Calculate_Technical_Metadata___Column[[#This Row],[PII/Non-PII]]="PII",Calculate_Technical_Metadata___Column[[#This Row],[PII/Non-PII]]= "Non-PII")=TRUE, 1, 0)</f>
        <v>1</v>
      </c>
      <c r="AL45" s="11" t="str">
        <f xml:space="preserve"> IF(ISERROR(FIND("(",Calculate_Technical_Metadata___Column[[#This Row],[Type]], 1)) = FALSE, _xlfn.TEXTBEFORE(Calculate_Technical_Metadata___Column[[#This Row],[Type]], "("),Calculate_Technical_Metadata___Column[[#This Row],[Type]])</f>
        <v>decimal</v>
      </c>
      <c r="AM45" s="11">
        <f>IF(COUNTIF(Type!A:A,Calculate_Technical_Metadata___Column[[#This Row],[Type]]) &gt; 0, 1, 0)</f>
        <v>1</v>
      </c>
      <c r="AN45" s="13">
        <f>IF(OR(Calculate_Technical_Metadata___Column[[#This Row],[Nullable]]="Yes",Calculate_Technical_Metadata___Column[[#This Row],[Nullable]]="No")=TRUE, 1, 0)</f>
        <v>1</v>
      </c>
    </row>
    <row r="46" spans="1:40" x14ac:dyDescent="0.3">
      <c r="A46" s="73" t="s">
        <v>469</v>
      </c>
      <c r="B46" s="73" t="s">
        <v>39</v>
      </c>
      <c r="C46" s="73" t="s">
        <v>470</v>
      </c>
      <c r="D46" s="73" t="s">
        <v>486</v>
      </c>
      <c r="E46" t="s">
        <v>42</v>
      </c>
      <c r="F46" s="73" t="s">
        <v>43</v>
      </c>
      <c r="G46" s="73" t="s">
        <v>346</v>
      </c>
      <c r="H46" s="73" t="s">
        <v>89</v>
      </c>
      <c r="I46" t="s">
        <v>90</v>
      </c>
      <c r="J46" s="73" t="s">
        <v>52</v>
      </c>
      <c r="K46" s="71">
        <v>45372</v>
      </c>
      <c r="L46" s="73" t="s">
        <v>49</v>
      </c>
      <c r="N46" s="11">
        <f>IF(ISBLANK(Calculate_Technical_Metadata___Column[[#This Row],[System/Data Subject Area Name]])=TRUE, 0, 1)</f>
        <v>1</v>
      </c>
      <c r="O46" s="11">
        <f>IF(ISBLANK(Calculate_Technical_Metadata___Column[[#This Row],[Schema/Database Name]])=TRUE, 0, 1)</f>
        <v>1</v>
      </c>
      <c r="P46" s="11">
        <f>IF(ISBLANK(Calculate_Technical_Metadata___Column[[#This Row],[Data Set Name]])=TRUE, 0, 1)</f>
        <v>1</v>
      </c>
      <c r="Q46" s="11">
        <f>IF(ISBLANK(Calculate_Technical_Metadata___Column[[#This Row],[Column Name]])=TRUE, 0, 1)</f>
        <v>1</v>
      </c>
      <c r="R46" s="11">
        <f>IF(ISBLANK(Calculate_Technical_Metadata___Column[[#This Row],[Data Zone (MDZ/GDZ)]])=TRUE, 0, 1)</f>
        <v>1</v>
      </c>
      <c r="S46" s="11">
        <f>IF(ISBLANK(Calculate_Technical_Metadata___Column[[#This Row],[PII/Non-PII]])=TRUE, 0, 1)</f>
        <v>1</v>
      </c>
      <c r="T46" s="11">
        <f>IF(ISBLANK(Calculate_Technical_Metadata___Column[[#This Row],[Type]])=TRUE, 0, 1)</f>
        <v>1</v>
      </c>
      <c r="U46" s="11">
        <f>IF(ISBLANK(Calculate_Technical_Metadata___Column[[#This Row],[Format]])=TRUE, 0, 1)</f>
        <v>1</v>
      </c>
      <c r="V46" s="11">
        <f>IF(ISBLANK(Calculate_Technical_Metadata___Column[[#This Row],[Nullable]])=TRUE, 0, 1)</f>
        <v>1</v>
      </c>
      <c r="W46" s="11">
        <f>IF(ISBLANK(Calculate_Technical_Metadata___Column[[#This Row],[Updated Date ]])=TRUE, 0, 1)</f>
        <v>1</v>
      </c>
      <c r="X46" s="11">
        <f>IF(ISBLANK(Calculate_Technical_Metadata___Column[[#This Row],[Updated By]])=TRUE, 0, 1)</f>
        <v>1</v>
      </c>
      <c r="Z46">
        <f>IF(COUNTIFS('Cal_Technical - Data Set'!A:A, Calculate_Technical_Metadata___Column[[#This Row],[Data Set Name]]) &gt; 0, 1,0)</f>
        <v>1</v>
      </c>
      <c r="AB46">
        <f>IF( COUNTIFS(C:C, Calculate_Technical_Metadata___Column[[#This Row],[Data Set Name]], D:D, Calculate_Technical_Metadata___Column[[#This Row],[Column Name]], A:A, Calculate_Technical_Metadata___Column[[#This Row],[System/Data Subject Area Name]], B:B, Calculate_Technical_Metadata___Column[[#This Row],[Schema/Database Name]]) &lt;&gt; 1, 0, 1)</f>
        <v>1</v>
      </c>
      <c r="AD46" s="11">
        <f>IF(ISERROR(FIND("  ",Calculate_Technical_Metadata___Column[[#This Row],[System/Data Subject Area Name]], 1))=TRUE, 1, 0)</f>
        <v>1</v>
      </c>
      <c r="AE46" s="11">
        <f>IF(ISERROR(FIND(" ",Calculate_Technical_Metadata___Column[[#This Row],[Schema/Database Name]], 1))=TRUE, 1, 0)</f>
        <v>1</v>
      </c>
      <c r="AF46" s="11">
        <f>IF(OR(ISERROR(FIND(" ",Calculate_Technical_Metadata___Column[[#This Row],[Data Set Name]], 1))=TRUE, ISERROR(FIND("__",Calculate_Technical_Metadata___Column[[#This Row],[Data Set Name]], 1))=TRUE)=TRUE, 1, 0)</f>
        <v>1</v>
      </c>
      <c r="AG46" s="11">
        <f>IF(ISERROR(FIND(" ",Calculate_Technical_Metadata___Column[[#This Row],[Column Name]], 1))=TRUE, 1, 0)</f>
        <v>1</v>
      </c>
      <c r="AH46" s="11">
        <f>IF(ISERROR(FIND("  ",Calculate_Technical_Metadata___Column[[#This Row],[Updated By]], 1))=TRUE, 1, 0)</f>
        <v>1</v>
      </c>
      <c r="AJ46">
        <f>IF(OR(Calculate_Technical_Metadata___Column[[#This Row],[Data Zone (MDZ/GDZ)]]="GDZ",Calculate_Technical_Metadata___Column[[#This Row],[Data Zone (MDZ/GDZ)]]= "MDZ",Calculate_Technical_Metadata___Column[[#This Row],[Data Zone (MDZ/GDZ)]]= "INVX Data Lake")=TRUE, 1, 0)</f>
        <v>1</v>
      </c>
      <c r="AK46" s="11">
        <f>IF(OR(Calculate_Technical_Metadata___Column[[#This Row],[PII/Non-PII]]="PII",Calculate_Technical_Metadata___Column[[#This Row],[PII/Non-PII]]= "Non-PII")=TRUE, 1, 0)</f>
        <v>1</v>
      </c>
      <c r="AL46" s="11" t="str">
        <f xml:space="preserve"> IF(ISERROR(FIND("(",Calculate_Technical_Metadata___Column[[#This Row],[Type]], 1)) = FALSE, _xlfn.TEXTBEFORE(Calculate_Technical_Metadata___Column[[#This Row],[Type]], "("),Calculate_Technical_Metadata___Column[[#This Row],[Type]])</f>
        <v>decimal</v>
      </c>
      <c r="AM46" s="11">
        <f>IF(COUNTIF(Type!A:A,Calculate_Technical_Metadata___Column[[#This Row],[Type]]) &gt; 0, 1, 0)</f>
        <v>1</v>
      </c>
      <c r="AN46" s="13">
        <f>IF(OR(Calculate_Technical_Metadata___Column[[#This Row],[Nullable]]="Yes",Calculate_Technical_Metadata___Column[[#This Row],[Nullable]]="No")=TRUE, 1, 0)</f>
        <v>1</v>
      </c>
    </row>
    <row r="47" spans="1:40" x14ac:dyDescent="0.3">
      <c r="A47" s="73" t="s">
        <v>487</v>
      </c>
      <c r="B47" s="73" t="s">
        <v>39</v>
      </c>
      <c r="C47" s="73" t="s">
        <v>470</v>
      </c>
      <c r="D47" s="73" t="s">
        <v>488</v>
      </c>
      <c r="E47" t="s">
        <v>42</v>
      </c>
      <c r="F47" s="73" t="s">
        <v>43</v>
      </c>
      <c r="G47" s="73" t="s">
        <v>45</v>
      </c>
      <c r="H47" s="73" t="s">
        <v>472</v>
      </c>
      <c r="I47" t="s">
        <v>47</v>
      </c>
      <c r="J47" s="73" t="s">
        <v>52</v>
      </c>
      <c r="K47" s="71">
        <v>45372</v>
      </c>
      <c r="L47" s="73" t="s">
        <v>49</v>
      </c>
      <c r="N47" s="11">
        <f>IF(ISBLANK(Calculate_Technical_Metadata___Column[[#This Row],[System/Data Subject Area Name]])=TRUE, 0, 1)</f>
        <v>1</v>
      </c>
      <c r="O47" s="11">
        <f>IF(ISBLANK(Calculate_Technical_Metadata___Column[[#This Row],[Schema/Database Name]])=TRUE, 0, 1)</f>
        <v>1</v>
      </c>
      <c r="P47" s="11">
        <f>IF(ISBLANK(Calculate_Technical_Metadata___Column[[#This Row],[Data Set Name]])=TRUE, 0, 1)</f>
        <v>1</v>
      </c>
      <c r="Q47" s="11">
        <f>IF(ISBLANK(Calculate_Technical_Metadata___Column[[#This Row],[Column Name]])=TRUE, 0, 1)</f>
        <v>1</v>
      </c>
      <c r="R47" s="11">
        <f>IF(ISBLANK(Calculate_Technical_Metadata___Column[[#This Row],[Data Zone (MDZ/GDZ)]])=TRUE, 0, 1)</f>
        <v>1</v>
      </c>
      <c r="S47" s="11">
        <f>IF(ISBLANK(Calculate_Technical_Metadata___Column[[#This Row],[PII/Non-PII]])=TRUE, 0, 1)</f>
        <v>1</v>
      </c>
      <c r="T47" s="11">
        <f>IF(ISBLANK(Calculate_Technical_Metadata___Column[[#This Row],[Type]])=TRUE, 0, 1)</f>
        <v>1</v>
      </c>
      <c r="U47" s="11">
        <f>IF(ISBLANK(Calculate_Technical_Metadata___Column[[#This Row],[Format]])=TRUE, 0, 1)</f>
        <v>1</v>
      </c>
      <c r="V47" s="11">
        <f>IF(ISBLANK(Calculate_Technical_Metadata___Column[[#This Row],[Nullable]])=TRUE, 0, 1)</f>
        <v>1</v>
      </c>
      <c r="W47" s="11">
        <f>IF(ISBLANK(Calculate_Technical_Metadata___Column[[#This Row],[Updated Date ]])=TRUE, 0, 1)</f>
        <v>1</v>
      </c>
      <c r="X47" s="11">
        <f>IF(ISBLANK(Calculate_Technical_Metadata___Column[[#This Row],[Updated By]])=TRUE, 0, 1)</f>
        <v>1</v>
      </c>
      <c r="Z47">
        <f>IF(COUNTIFS('Cal_Technical - Data Set'!A:A, Calculate_Technical_Metadata___Column[[#This Row],[Data Set Name]]) &gt; 0, 1,0)</f>
        <v>1</v>
      </c>
      <c r="AB47">
        <f>IF( COUNTIFS(C:C, Calculate_Technical_Metadata___Column[[#This Row],[Data Set Name]], D:D, Calculate_Technical_Metadata___Column[[#This Row],[Column Name]], A:A, Calculate_Technical_Metadata___Column[[#This Row],[System/Data Subject Area Name]], B:B, Calculate_Technical_Metadata___Column[[#This Row],[Schema/Database Name]]) &lt;&gt; 1, 0, 1)</f>
        <v>1</v>
      </c>
      <c r="AD47" s="11">
        <f>IF(ISERROR(FIND("  ",Calculate_Technical_Metadata___Column[[#This Row],[System/Data Subject Area Name]], 1))=TRUE, 1, 0)</f>
        <v>1</v>
      </c>
      <c r="AE47" s="11">
        <f>IF(ISERROR(FIND(" ",Calculate_Technical_Metadata___Column[[#This Row],[Schema/Database Name]], 1))=TRUE, 1, 0)</f>
        <v>1</v>
      </c>
      <c r="AF47" s="11">
        <f>IF(OR(ISERROR(FIND(" ",Calculate_Technical_Metadata___Column[[#This Row],[Data Set Name]], 1))=TRUE, ISERROR(FIND("__",Calculate_Technical_Metadata___Column[[#This Row],[Data Set Name]], 1))=TRUE)=TRUE, 1, 0)</f>
        <v>1</v>
      </c>
      <c r="AG47" s="11">
        <f>IF(ISERROR(FIND(" ",Calculate_Technical_Metadata___Column[[#This Row],[Column Name]], 1))=TRUE, 1, 0)</f>
        <v>1</v>
      </c>
      <c r="AH47" s="11">
        <f>IF(ISERROR(FIND("  ",Calculate_Technical_Metadata___Column[[#This Row],[Updated By]], 1))=TRUE, 1, 0)</f>
        <v>1</v>
      </c>
      <c r="AJ47">
        <f>IF(OR(Calculate_Technical_Metadata___Column[[#This Row],[Data Zone (MDZ/GDZ)]]="GDZ",Calculate_Technical_Metadata___Column[[#This Row],[Data Zone (MDZ/GDZ)]]= "MDZ",Calculate_Technical_Metadata___Column[[#This Row],[Data Zone (MDZ/GDZ)]]= "INVX Data Lake")=TRUE, 1, 0)</f>
        <v>1</v>
      </c>
      <c r="AK47" s="11">
        <f>IF(OR(Calculate_Technical_Metadata___Column[[#This Row],[PII/Non-PII]]="PII",Calculate_Technical_Metadata___Column[[#This Row],[PII/Non-PII]]= "Non-PII")=TRUE, 1, 0)</f>
        <v>1</v>
      </c>
      <c r="AL47" s="11" t="str">
        <f xml:space="preserve"> IF(ISERROR(FIND("(",Calculate_Technical_Metadata___Column[[#This Row],[Type]], 1)) = FALSE, _xlfn.TEXTBEFORE(Calculate_Technical_Metadata___Column[[#This Row],[Type]], "("),Calculate_Technical_Metadata___Column[[#This Row],[Type]])</f>
        <v>string</v>
      </c>
      <c r="AM47" s="11">
        <f>IF(COUNTIF(Type!A:A,Calculate_Technical_Metadata___Column[[#This Row],[Type]]) &gt; 0, 1, 0)</f>
        <v>1</v>
      </c>
      <c r="AN47" s="13">
        <f>IF(OR(Calculate_Technical_Metadata___Column[[#This Row],[Nullable]]="Yes",Calculate_Technical_Metadata___Column[[#This Row],[Nullable]]="No")=TRUE, 1, 0)</f>
        <v>1</v>
      </c>
    </row>
    <row r="48" spans="1:40" x14ac:dyDescent="0.3">
      <c r="A48" s="73" t="s">
        <v>487</v>
      </c>
      <c r="B48" s="73" t="s">
        <v>39</v>
      </c>
      <c r="C48" s="73" t="s">
        <v>470</v>
      </c>
      <c r="D48" s="73" t="s">
        <v>489</v>
      </c>
      <c r="E48" t="s">
        <v>42</v>
      </c>
      <c r="F48" s="73" t="s">
        <v>43</v>
      </c>
      <c r="G48" s="73" t="s">
        <v>45</v>
      </c>
      <c r="H48" s="73" t="s">
        <v>472</v>
      </c>
      <c r="I48" t="s">
        <v>47</v>
      </c>
      <c r="J48" s="73" t="s">
        <v>52</v>
      </c>
      <c r="K48" s="71">
        <v>45372</v>
      </c>
      <c r="L48" s="73" t="s">
        <v>49</v>
      </c>
      <c r="N48" s="11">
        <f>IF(ISBLANK(Calculate_Technical_Metadata___Column[[#This Row],[System/Data Subject Area Name]])=TRUE, 0, 1)</f>
        <v>1</v>
      </c>
      <c r="O48" s="11">
        <f>IF(ISBLANK(Calculate_Technical_Metadata___Column[[#This Row],[Schema/Database Name]])=TRUE, 0, 1)</f>
        <v>1</v>
      </c>
      <c r="P48" s="11">
        <f>IF(ISBLANK(Calculate_Technical_Metadata___Column[[#This Row],[Data Set Name]])=TRUE, 0, 1)</f>
        <v>1</v>
      </c>
      <c r="Q48" s="11">
        <f>IF(ISBLANK(Calculate_Technical_Metadata___Column[[#This Row],[Column Name]])=TRUE, 0, 1)</f>
        <v>1</v>
      </c>
      <c r="R48" s="11">
        <f>IF(ISBLANK(Calculate_Technical_Metadata___Column[[#This Row],[Data Zone (MDZ/GDZ)]])=TRUE, 0, 1)</f>
        <v>1</v>
      </c>
      <c r="S48" s="11">
        <f>IF(ISBLANK(Calculate_Technical_Metadata___Column[[#This Row],[PII/Non-PII]])=TRUE, 0, 1)</f>
        <v>1</v>
      </c>
      <c r="T48" s="11">
        <f>IF(ISBLANK(Calculate_Technical_Metadata___Column[[#This Row],[Type]])=TRUE, 0, 1)</f>
        <v>1</v>
      </c>
      <c r="U48" s="11">
        <f>IF(ISBLANK(Calculate_Technical_Metadata___Column[[#This Row],[Format]])=TRUE, 0, 1)</f>
        <v>1</v>
      </c>
      <c r="V48" s="11">
        <f>IF(ISBLANK(Calculate_Technical_Metadata___Column[[#This Row],[Nullable]])=TRUE, 0, 1)</f>
        <v>1</v>
      </c>
      <c r="W48" s="11">
        <f>IF(ISBLANK(Calculate_Technical_Metadata___Column[[#This Row],[Updated Date ]])=TRUE, 0, 1)</f>
        <v>1</v>
      </c>
      <c r="X48" s="11">
        <f>IF(ISBLANK(Calculate_Technical_Metadata___Column[[#This Row],[Updated By]])=TRUE, 0, 1)</f>
        <v>1</v>
      </c>
      <c r="Z48">
        <f>IF(COUNTIFS('Cal_Technical - Data Set'!A:A, Calculate_Technical_Metadata___Column[[#This Row],[Data Set Name]]) &gt; 0, 1,0)</f>
        <v>1</v>
      </c>
      <c r="AB48">
        <f>IF( COUNTIFS(C:C, Calculate_Technical_Metadata___Column[[#This Row],[Data Set Name]], D:D, Calculate_Technical_Metadata___Column[[#This Row],[Column Name]], A:A, Calculate_Technical_Metadata___Column[[#This Row],[System/Data Subject Area Name]], B:B, Calculate_Technical_Metadata___Column[[#This Row],[Schema/Database Name]]) &lt;&gt; 1, 0, 1)</f>
        <v>1</v>
      </c>
      <c r="AD48" s="11">
        <f>IF(ISERROR(FIND("  ",Calculate_Technical_Metadata___Column[[#This Row],[System/Data Subject Area Name]], 1))=TRUE, 1, 0)</f>
        <v>1</v>
      </c>
      <c r="AE48" s="11">
        <f>IF(ISERROR(FIND(" ",Calculate_Technical_Metadata___Column[[#This Row],[Schema/Database Name]], 1))=TRUE, 1, 0)</f>
        <v>1</v>
      </c>
      <c r="AF48" s="11">
        <f>IF(OR(ISERROR(FIND(" ",Calculate_Technical_Metadata___Column[[#This Row],[Data Set Name]], 1))=TRUE, ISERROR(FIND("__",Calculate_Technical_Metadata___Column[[#This Row],[Data Set Name]], 1))=TRUE)=TRUE, 1, 0)</f>
        <v>1</v>
      </c>
      <c r="AG48" s="11">
        <f>IF(ISERROR(FIND(" ",Calculate_Technical_Metadata___Column[[#This Row],[Column Name]], 1))=TRUE, 1, 0)</f>
        <v>1</v>
      </c>
      <c r="AH48" s="11">
        <f>IF(ISERROR(FIND("  ",Calculate_Technical_Metadata___Column[[#This Row],[Updated By]], 1))=TRUE, 1, 0)</f>
        <v>1</v>
      </c>
      <c r="AJ48">
        <f>IF(OR(Calculate_Technical_Metadata___Column[[#This Row],[Data Zone (MDZ/GDZ)]]="GDZ",Calculate_Technical_Metadata___Column[[#This Row],[Data Zone (MDZ/GDZ)]]= "MDZ",Calculate_Technical_Metadata___Column[[#This Row],[Data Zone (MDZ/GDZ)]]= "INVX Data Lake")=TRUE, 1, 0)</f>
        <v>1</v>
      </c>
      <c r="AK48" s="11">
        <f>IF(OR(Calculate_Technical_Metadata___Column[[#This Row],[PII/Non-PII]]="PII",Calculate_Technical_Metadata___Column[[#This Row],[PII/Non-PII]]= "Non-PII")=TRUE, 1, 0)</f>
        <v>1</v>
      </c>
      <c r="AL48" s="11" t="str">
        <f xml:space="preserve"> IF(ISERROR(FIND("(",Calculate_Technical_Metadata___Column[[#This Row],[Type]], 1)) = FALSE, _xlfn.TEXTBEFORE(Calculate_Technical_Metadata___Column[[#This Row],[Type]], "("),Calculate_Technical_Metadata___Column[[#This Row],[Type]])</f>
        <v>string</v>
      </c>
      <c r="AM48" s="11">
        <f>IF(COUNTIF(Type!A:A,Calculate_Technical_Metadata___Column[[#This Row],[Type]]) &gt; 0, 1, 0)</f>
        <v>1</v>
      </c>
      <c r="AN48" s="13">
        <f>IF(OR(Calculate_Technical_Metadata___Column[[#This Row],[Nullable]]="Yes",Calculate_Technical_Metadata___Column[[#This Row],[Nullable]]="No")=TRUE, 1, 0)</f>
        <v>1</v>
      </c>
    </row>
    <row r="49" spans="1:40" x14ac:dyDescent="0.3">
      <c r="A49" s="73" t="s">
        <v>487</v>
      </c>
      <c r="B49" s="73" t="s">
        <v>39</v>
      </c>
      <c r="C49" s="73" t="s">
        <v>470</v>
      </c>
      <c r="D49" s="73" t="s">
        <v>490</v>
      </c>
      <c r="E49" t="s">
        <v>42</v>
      </c>
      <c r="F49" s="73" t="s">
        <v>43</v>
      </c>
      <c r="G49" s="73" t="s">
        <v>45</v>
      </c>
      <c r="H49" s="73" t="s">
        <v>472</v>
      </c>
      <c r="I49" t="s">
        <v>47</v>
      </c>
      <c r="J49" s="73" t="s">
        <v>52</v>
      </c>
      <c r="K49" s="71">
        <v>45372</v>
      </c>
      <c r="L49" s="73" t="s">
        <v>49</v>
      </c>
      <c r="N49" s="11">
        <f>IF(ISBLANK(Calculate_Technical_Metadata___Column[[#This Row],[System/Data Subject Area Name]])=TRUE, 0, 1)</f>
        <v>1</v>
      </c>
      <c r="O49" s="11">
        <f>IF(ISBLANK(Calculate_Technical_Metadata___Column[[#This Row],[Schema/Database Name]])=TRUE, 0, 1)</f>
        <v>1</v>
      </c>
      <c r="P49" s="11">
        <f>IF(ISBLANK(Calculate_Technical_Metadata___Column[[#This Row],[Data Set Name]])=TRUE, 0, 1)</f>
        <v>1</v>
      </c>
      <c r="Q49" s="11">
        <f>IF(ISBLANK(Calculate_Technical_Metadata___Column[[#This Row],[Column Name]])=TRUE, 0, 1)</f>
        <v>1</v>
      </c>
      <c r="R49" s="11">
        <f>IF(ISBLANK(Calculate_Technical_Metadata___Column[[#This Row],[Data Zone (MDZ/GDZ)]])=TRUE, 0, 1)</f>
        <v>1</v>
      </c>
      <c r="S49" s="11">
        <f>IF(ISBLANK(Calculate_Technical_Metadata___Column[[#This Row],[PII/Non-PII]])=TRUE, 0, 1)</f>
        <v>1</v>
      </c>
      <c r="T49" s="11">
        <f>IF(ISBLANK(Calculate_Technical_Metadata___Column[[#This Row],[Type]])=TRUE, 0, 1)</f>
        <v>1</v>
      </c>
      <c r="U49" s="11">
        <f>IF(ISBLANK(Calculate_Technical_Metadata___Column[[#This Row],[Format]])=TRUE, 0, 1)</f>
        <v>1</v>
      </c>
      <c r="V49" s="11">
        <f>IF(ISBLANK(Calculate_Technical_Metadata___Column[[#This Row],[Nullable]])=TRUE, 0, 1)</f>
        <v>1</v>
      </c>
      <c r="W49" s="11">
        <f>IF(ISBLANK(Calculate_Technical_Metadata___Column[[#This Row],[Updated Date ]])=TRUE, 0, 1)</f>
        <v>1</v>
      </c>
      <c r="X49" s="11">
        <f>IF(ISBLANK(Calculate_Technical_Metadata___Column[[#This Row],[Updated By]])=TRUE, 0, 1)</f>
        <v>1</v>
      </c>
      <c r="Z49">
        <f>IF(COUNTIFS('Cal_Technical - Data Set'!A:A, Calculate_Technical_Metadata___Column[[#This Row],[Data Set Name]]) &gt; 0, 1,0)</f>
        <v>1</v>
      </c>
      <c r="AB49">
        <f>IF( COUNTIFS(C:C, Calculate_Technical_Metadata___Column[[#This Row],[Data Set Name]], D:D, Calculate_Technical_Metadata___Column[[#This Row],[Column Name]], A:A, Calculate_Technical_Metadata___Column[[#This Row],[System/Data Subject Area Name]], B:B, Calculate_Technical_Metadata___Column[[#This Row],[Schema/Database Name]]) &lt;&gt; 1, 0, 1)</f>
        <v>1</v>
      </c>
      <c r="AD49" s="11">
        <f>IF(ISERROR(FIND("  ",Calculate_Technical_Metadata___Column[[#This Row],[System/Data Subject Area Name]], 1))=TRUE, 1, 0)</f>
        <v>1</v>
      </c>
      <c r="AE49" s="11">
        <f>IF(ISERROR(FIND(" ",Calculate_Technical_Metadata___Column[[#This Row],[Schema/Database Name]], 1))=TRUE, 1, 0)</f>
        <v>1</v>
      </c>
      <c r="AF49" s="11">
        <f>IF(OR(ISERROR(FIND(" ",Calculate_Technical_Metadata___Column[[#This Row],[Data Set Name]], 1))=TRUE, ISERROR(FIND("__",Calculate_Technical_Metadata___Column[[#This Row],[Data Set Name]], 1))=TRUE)=TRUE, 1, 0)</f>
        <v>1</v>
      </c>
      <c r="AG49" s="11">
        <f>IF(ISERROR(FIND(" ",Calculate_Technical_Metadata___Column[[#This Row],[Column Name]], 1))=TRUE, 1, 0)</f>
        <v>1</v>
      </c>
      <c r="AH49" s="11">
        <f>IF(ISERROR(FIND("  ",Calculate_Technical_Metadata___Column[[#This Row],[Updated By]], 1))=TRUE, 1, 0)</f>
        <v>1</v>
      </c>
      <c r="AJ49">
        <f>IF(OR(Calculate_Technical_Metadata___Column[[#This Row],[Data Zone (MDZ/GDZ)]]="GDZ",Calculate_Technical_Metadata___Column[[#This Row],[Data Zone (MDZ/GDZ)]]= "MDZ",Calculate_Technical_Metadata___Column[[#This Row],[Data Zone (MDZ/GDZ)]]= "INVX Data Lake")=TRUE, 1, 0)</f>
        <v>1</v>
      </c>
      <c r="AK49" s="11">
        <f>IF(OR(Calculate_Technical_Metadata___Column[[#This Row],[PII/Non-PII]]="PII",Calculate_Technical_Metadata___Column[[#This Row],[PII/Non-PII]]= "Non-PII")=TRUE, 1, 0)</f>
        <v>1</v>
      </c>
      <c r="AL49" s="11" t="str">
        <f xml:space="preserve"> IF(ISERROR(FIND("(",Calculate_Technical_Metadata___Column[[#This Row],[Type]], 1)) = FALSE, _xlfn.TEXTBEFORE(Calculate_Technical_Metadata___Column[[#This Row],[Type]], "("),Calculate_Technical_Metadata___Column[[#This Row],[Type]])</f>
        <v>string</v>
      </c>
      <c r="AM49" s="11">
        <f>IF(COUNTIF(Type!A:A,Calculate_Technical_Metadata___Column[[#This Row],[Type]]) &gt; 0, 1, 0)</f>
        <v>1</v>
      </c>
      <c r="AN49" s="13">
        <f>IF(OR(Calculate_Technical_Metadata___Column[[#This Row],[Nullable]]="Yes",Calculate_Technical_Metadata___Column[[#This Row],[Nullable]]="No")=TRUE, 1, 0)</f>
        <v>1</v>
      </c>
    </row>
    <row r="50" spans="1:40" x14ac:dyDescent="0.3">
      <c r="A50" s="73" t="s">
        <v>487</v>
      </c>
      <c r="B50" s="73" t="s">
        <v>39</v>
      </c>
      <c r="C50" s="73" t="s">
        <v>470</v>
      </c>
      <c r="D50" s="73" t="s">
        <v>491</v>
      </c>
      <c r="E50" t="s">
        <v>42</v>
      </c>
      <c r="F50" s="73" t="s">
        <v>43</v>
      </c>
      <c r="G50" s="73" t="s">
        <v>45</v>
      </c>
      <c r="H50" s="73" t="s">
        <v>55</v>
      </c>
      <c r="I50" t="s">
        <v>47</v>
      </c>
      <c r="J50" s="73" t="s">
        <v>52</v>
      </c>
      <c r="K50" s="71">
        <v>45372</v>
      </c>
      <c r="L50" s="73" t="s">
        <v>49</v>
      </c>
      <c r="N50" s="11">
        <f>IF(ISBLANK(Calculate_Technical_Metadata___Column[[#This Row],[System/Data Subject Area Name]])=TRUE, 0, 1)</f>
        <v>1</v>
      </c>
      <c r="O50" s="11">
        <f>IF(ISBLANK(Calculate_Technical_Metadata___Column[[#This Row],[Schema/Database Name]])=TRUE, 0, 1)</f>
        <v>1</v>
      </c>
      <c r="P50" s="11">
        <f>IF(ISBLANK(Calculate_Technical_Metadata___Column[[#This Row],[Data Set Name]])=TRUE, 0, 1)</f>
        <v>1</v>
      </c>
      <c r="Q50" s="11">
        <f>IF(ISBLANK(Calculate_Technical_Metadata___Column[[#This Row],[Column Name]])=TRUE, 0, 1)</f>
        <v>1</v>
      </c>
      <c r="R50" s="11">
        <f>IF(ISBLANK(Calculate_Technical_Metadata___Column[[#This Row],[Data Zone (MDZ/GDZ)]])=TRUE, 0, 1)</f>
        <v>1</v>
      </c>
      <c r="S50" s="11">
        <f>IF(ISBLANK(Calculate_Technical_Metadata___Column[[#This Row],[PII/Non-PII]])=TRUE, 0, 1)</f>
        <v>1</v>
      </c>
      <c r="T50" s="11">
        <f>IF(ISBLANK(Calculate_Technical_Metadata___Column[[#This Row],[Type]])=TRUE, 0, 1)</f>
        <v>1</v>
      </c>
      <c r="U50" s="11">
        <f>IF(ISBLANK(Calculate_Technical_Metadata___Column[[#This Row],[Format]])=TRUE, 0, 1)</f>
        <v>1</v>
      </c>
      <c r="V50" s="11">
        <f>IF(ISBLANK(Calculate_Technical_Metadata___Column[[#This Row],[Nullable]])=TRUE, 0, 1)</f>
        <v>1</v>
      </c>
      <c r="W50" s="11">
        <f>IF(ISBLANK(Calculate_Technical_Metadata___Column[[#This Row],[Updated Date ]])=TRUE, 0, 1)</f>
        <v>1</v>
      </c>
      <c r="X50" s="11">
        <f>IF(ISBLANK(Calculate_Technical_Metadata___Column[[#This Row],[Updated By]])=TRUE, 0, 1)</f>
        <v>1</v>
      </c>
      <c r="Z50">
        <f>IF(COUNTIFS('Cal_Technical - Data Set'!A:A, Calculate_Technical_Metadata___Column[[#This Row],[Data Set Name]]) &gt; 0, 1,0)</f>
        <v>1</v>
      </c>
      <c r="AB50">
        <f>IF( COUNTIFS(C:C, Calculate_Technical_Metadata___Column[[#This Row],[Data Set Name]], D:D, Calculate_Technical_Metadata___Column[[#This Row],[Column Name]], A:A, Calculate_Technical_Metadata___Column[[#This Row],[System/Data Subject Area Name]], B:B, Calculate_Technical_Metadata___Column[[#This Row],[Schema/Database Name]]) &lt;&gt; 1, 0, 1)</f>
        <v>1</v>
      </c>
      <c r="AD50" s="11">
        <f>IF(ISERROR(FIND("  ",Calculate_Technical_Metadata___Column[[#This Row],[System/Data Subject Area Name]], 1))=TRUE, 1, 0)</f>
        <v>1</v>
      </c>
      <c r="AE50" s="11">
        <f>IF(ISERROR(FIND(" ",Calculate_Technical_Metadata___Column[[#This Row],[Schema/Database Name]], 1))=TRUE, 1, 0)</f>
        <v>1</v>
      </c>
      <c r="AF50" s="11">
        <f>IF(OR(ISERROR(FIND(" ",Calculate_Technical_Metadata___Column[[#This Row],[Data Set Name]], 1))=TRUE, ISERROR(FIND("__",Calculate_Technical_Metadata___Column[[#This Row],[Data Set Name]], 1))=TRUE)=TRUE, 1, 0)</f>
        <v>1</v>
      </c>
      <c r="AG50" s="11">
        <f>IF(ISERROR(FIND(" ",Calculate_Technical_Metadata___Column[[#This Row],[Column Name]], 1))=TRUE, 1, 0)</f>
        <v>1</v>
      </c>
      <c r="AH50" s="11">
        <f>IF(ISERROR(FIND("  ",Calculate_Technical_Metadata___Column[[#This Row],[Updated By]], 1))=TRUE, 1, 0)</f>
        <v>1</v>
      </c>
      <c r="AJ50">
        <f>IF(OR(Calculate_Technical_Metadata___Column[[#This Row],[Data Zone (MDZ/GDZ)]]="GDZ",Calculate_Technical_Metadata___Column[[#This Row],[Data Zone (MDZ/GDZ)]]= "MDZ",Calculate_Technical_Metadata___Column[[#This Row],[Data Zone (MDZ/GDZ)]]= "INVX Data Lake")=TRUE, 1, 0)</f>
        <v>1</v>
      </c>
      <c r="AK50" s="11">
        <f>IF(OR(Calculate_Technical_Metadata___Column[[#This Row],[PII/Non-PII]]="PII",Calculate_Technical_Metadata___Column[[#This Row],[PII/Non-PII]]= "Non-PII")=TRUE, 1, 0)</f>
        <v>1</v>
      </c>
      <c r="AL50" s="11" t="str">
        <f xml:space="preserve"> IF(ISERROR(FIND("(",Calculate_Technical_Metadata___Column[[#This Row],[Type]], 1)) = FALSE, _xlfn.TEXTBEFORE(Calculate_Technical_Metadata___Column[[#This Row],[Type]], "("),Calculate_Technical_Metadata___Column[[#This Row],[Type]])</f>
        <v>string</v>
      </c>
      <c r="AM50" s="11">
        <f>IF(COUNTIF(Type!A:A,Calculate_Technical_Metadata___Column[[#This Row],[Type]]) &gt; 0, 1, 0)</f>
        <v>1</v>
      </c>
      <c r="AN50" s="13">
        <f>IF(OR(Calculate_Technical_Metadata___Column[[#This Row],[Nullable]]="Yes",Calculate_Technical_Metadata___Column[[#This Row],[Nullable]]="No")=TRUE, 1, 0)</f>
        <v>1</v>
      </c>
    </row>
    <row r="51" spans="1:40" x14ac:dyDescent="0.3">
      <c r="A51" s="73" t="s">
        <v>487</v>
      </c>
      <c r="B51" s="73" t="s">
        <v>39</v>
      </c>
      <c r="C51" s="73" t="s">
        <v>470</v>
      </c>
      <c r="D51" s="73" t="s">
        <v>492</v>
      </c>
      <c r="E51" t="s">
        <v>42</v>
      </c>
      <c r="F51" s="73" t="s">
        <v>43</v>
      </c>
      <c r="G51" s="73" t="s">
        <v>45</v>
      </c>
      <c r="H51" s="73" t="s">
        <v>472</v>
      </c>
      <c r="I51" t="s">
        <v>47</v>
      </c>
      <c r="J51" s="73" t="s">
        <v>52</v>
      </c>
      <c r="K51" s="71">
        <v>45372</v>
      </c>
      <c r="L51" s="73" t="s">
        <v>49</v>
      </c>
      <c r="N51" s="11">
        <f>IF(ISBLANK(Calculate_Technical_Metadata___Column[[#This Row],[System/Data Subject Area Name]])=TRUE, 0, 1)</f>
        <v>1</v>
      </c>
      <c r="O51" s="11">
        <f>IF(ISBLANK(Calculate_Technical_Metadata___Column[[#This Row],[Schema/Database Name]])=TRUE, 0, 1)</f>
        <v>1</v>
      </c>
      <c r="P51" s="11">
        <f>IF(ISBLANK(Calculate_Technical_Metadata___Column[[#This Row],[Data Set Name]])=TRUE, 0, 1)</f>
        <v>1</v>
      </c>
      <c r="Q51" s="11">
        <f>IF(ISBLANK(Calculate_Technical_Metadata___Column[[#This Row],[Column Name]])=TRUE, 0, 1)</f>
        <v>1</v>
      </c>
      <c r="R51" s="11">
        <f>IF(ISBLANK(Calculate_Technical_Metadata___Column[[#This Row],[Data Zone (MDZ/GDZ)]])=TRUE, 0, 1)</f>
        <v>1</v>
      </c>
      <c r="S51" s="11">
        <f>IF(ISBLANK(Calculate_Technical_Metadata___Column[[#This Row],[PII/Non-PII]])=TRUE, 0, 1)</f>
        <v>1</v>
      </c>
      <c r="T51" s="11">
        <f>IF(ISBLANK(Calculate_Technical_Metadata___Column[[#This Row],[Type]])=TRUE, 0, 1)</f>
        <v>1</v>
      </c>
      <c r="U51" s="11">
        <f>IF(ISBLANK(Calculate_Technical_Metadata___Column[[#This Row],[Format]])=TRUE, 0, 1)</f>
        <v>1</v>
      </c>
      <c r="V51" s="11">
        <f>IF(ISBLANK(Calculate_Technical_Metadata___Column[[#This Row],[Nullable]])=TRUE, 0, 1)</f>
        <v>1</v>
      </c>
      <c r="W51" s="11">
        <f>IF(ISBLANK(Calculate_Technical_Metadata___Column[[#This Row],[Updated Date ]])=TRUE, 0, 1)</f>
        <v>1</v>
      </c>
      <c r="X51" s="11">
        <f>IF(ISBLANK(Calculate_Technical_Metadata___Column[[#This Row],[Updated By]])=TRUE, 0, 1)</f>
        <v>1</v>
      </c>
      <c r="Z51">
        <f>IF(COUNTIFS('Cal_Technical - Data Set'!A:A, Calculate_Technical_Metadata___Column[[#This Row],[Data Set Name]]) &gt; 0, 1,0)</f>
        <v>1</v>
      </c>
      <c r="AB51">
        <f>IF( COUNTIFS(C:C, Calculate_Technical_Metadata___Column[[#This Row],[Data Set Name]], D:D, Calculate_Technical_Metadata___Column[[#This Row],[Column Name]], A:A, Calculate_Technical_Metadata___Column[[#This Row],[System/Data Subject Area Name]], B:B, Calculate_Technical_Metadata___Column[[#This Row],[Schema/Database Name]]) &lt;&gt; 1, 0, 1)</f>
        <v>1</v>
      </c>
      <c r="AD51" s="11">
        <f>IF(ISERROR(FIND("  ",Calculate_Technical_Metadata___Column[[#This Row],[System/Data Subject Area Name]], 1))=TRUE, 1, 0)</f>
        <v>1</v>
      </c>
      <c r="AE51" s="11">
        <f>IF(ISERROR(FIND(" ",Calculate_Technical_Metadata___Column[[#This Row],[Schema/Database Name]], 1))=TRUE, 1, 0)</f>
        <v>1</v>
      </c>
      <c r="AF51" s="11">
        <f>IF(OR(ISERROR(FIND(" ",Calculate_Technical_Metadata___Column[[#This Row],[Data Set Name]], 1))=TRUE, ISERROR(FIND("__",Calculate_Technical_Metadata___Column[[#This Row],[Data Set Name]], 1))=TRUE)=TRUE, 1, 0)</f>
        <v>1</v>
      </c>
      <c r="AG51" s="11">
        <f>IF(ISERROR(FIND(" ",Calculate_Technical_Metadata___Column[[#This Row],[Column Name]], 1))=TRUE, 1, 0)</f>
        <v>1</v>
      </c>
      <c r="AH51" s="11">
        <f>IF(ISERROR(FIND("  ",Calculate_Technical_Metadata___Column[[#This Row],[Updated By]], 1))=TRUE, 1, 0)</f>
        <v>1</v>
      </c>
      <c r="AJ51">
        <f>IF(OR(Calculate_Technical_Metadata___Column[[#This Row],[Data Zone (MDZ/GDZ)]]="GDZ",Calculate_Technical_Metadata___Column[[#This Row],[Data Zone (MDZ/GDZ)]]= "MDZ",Calculate_Technical_Metadata___Column[[#This Row],[Data Zone (MDZ/GDZ)]]= "INVX Data Lake")=TRUE, 1, 0)</f>
        <v>1</v>
      </c>
      <c r="AK51" s="11">
        <f>IF(OR(Calculate_Technical_Metadata___Column[[#This Row],[PII/Non-PII]]="PII",Calculate_Technical_Metadata___Column[[#This Row],[PII/Non-PII]]= "Non-PII")=TRUE, 1, 0)</f>
        <v>1</v>
      </c>
      <c r="AL51" s="11" t="str">
        <f xml:space="preserve"> IF(ISERROR(FIND("(",Calculate_Technical_Metadata___Column[[#This Row],[Type]], 1)) = FALSE, _xlfn.TEXTBEFORE(Calculate_Technical_Metadata___Column[[#This Row],[Type]], "("),Calculate_Technical_Metadata___Column[[#This Row],[Type]])</f>
        <v>string</v>
      </c>
      <c r="AM51" s="11">
        <f>IF(COUNTIF(Type!A:A,Calculate_Technical_Metadata___Column[[#This Row],[Type]]) &gt; 0, 1, 0)</f>
        <v>1</v>
      </c>
      <c r="AN51" s="13">
        <f>IF(OR(Calculate_Technical_Metadata___Column[[#This Row],[Nullable]]="Yes",Calculate_Technical_Metadata___Column[[#This Row],[Nullable]]="No")=TRUE, 1, 0)</f>
        <v>1</v>
      </c>
    </row>
    <row r="52" spans="1:40" x14ac:dyDescent="0.3">
      <c r="A52" s="73" t="s">
        <v>493</v>
      </c>
      <c r="B52" s="73" t="s">
        <v>39</v>
      </c>
      <c r="C52" s="73" t="s">
        <v>470</v>
      </c>
      <c r="D52" s="73" t="s">
        <v>494</v>
      </c>
      <c r="E52" t="s">
        <v>42</v>
      </c>
      <c r="F52" s="73" t="s">
        <v>43</v>
      </c>
      <c r="G52" s="73" t="s">
        <v>45</v>
      </c>
      <c r="H52" s="73" t="s">
        <v>472</v>
      </c>
      <c r="I52" t="s">
        <v>47</v>
      </c>
      <c r="J52" s="73" t="s">
        <v>52</v>
      </c>
      <c r="K52" s="71">
        <v>45372</v>
      </c>
      <c r="L52" s="73" t="s">
        <v>49</v>
      </c>
      <c r="N52" s="11">
        <f>IF(ISBLANK(Calculate_Technical_Metadata___Column[[#This Row],[System/Data Subject Area Name]])=TRUE, 0, 1)</f>
        <v>1</v>
      </c>
      <c r="O52" s="11">
        <f>IF(ISBLANK(Calculate_Technical_Metadata___Column[[#This Row],[Schema/Database Name]])=TRUE, 0, 1)</f>
        <v>1</v>
      </c>
      <c r="P52" s="11">
        <f>IF(ISBLANK(Calculate_Technical_Metadata___Column[[#This Row],[Data Set Name]])=TRUE, 0, 1)</f>
        <v>1</v>
      </c>
      <c r="Q52" s="11">
        <f>IF(ISBLANK(Calculate_Technical_Metadata___Column[[#This Row],[Column Name]])=TRUE, 0, 1)</f>
        <v>1</v>
      </c>
      <c r="R52" s="11">
        <f>IF(ISBLANK(Calculate_Technical_Metadata___Column[[#This Row],[Data Zone (MDZ/GDZ)]])=TRUE, 0, 1)</f>
        <v>1</v>
      </c>
      <c r="S52" s="11">
        <f>IF(ISBLANK(Calculate_Technical_Metadata___Column[[#This Row],[PII/Non-PII]])=TRUE, 0, 1)</f>
        <v>1</v>
      </c>
      <c r="T52" s="11">
        <f>IF(ISBLANK(Calculate_Technical_Metadata___Column[[#This Row],[Type]])=TRUE, 0, 1)</f>
        <v>1</v>
      </c>
      <c r="U52" s="11">
        <f>IF(ISBLANK(Calculate_Technical_Metadata___Column[[#This Row],[Format]])=TRUE, 0, 1)</f>
        <v>1</v>
      </c>
      <c r="V52" s="11">
        <f>IF(ISBLANK(Calculate_Technical_Metadata___Column[[#This Row],[Nullable]])=TRUE, 0, 1)</f>
        <v>1</v>
      </c>
      <c r="W52" s="11">
        <f>IF(ISBLANK(Calculate_Technical_Metadata___Column[[#This Row],[Updated Date ]])=TRUE, 0, 1)</f>
        <v>1</v>
      </c>
      <c r="X52" s="11">
        <f>IF(ISBLANK(Calculate_Technical_Metadata___Column[[#This Row],[Updated By]])=TRUE, 0, 1)</f>
        <v>1</v>
      </c>
      <c r="Z52">
        <f>IF(COUNTIFS('Cal_Technical - Data Set'!A:A, Calculate_Technical_Metadata___Column[[#This Row],[Data Set Name]]) &gt; 0, 1,0)</f>
        <v>1</v>
      </c>
      <c r="AB52">
        <f>IF( COUNTIFS(C:C, Calculate_Technical_Metadata___Column[[#This Row],[Data Set Name]], D:D, Calculate_Technical_Metadata___Column[[#This Row],[Column Name]], A:A, Calculate_Technical_Metadata___Column[[#This Row],[System/Data Subject Area Name]], B:B, Calculate_Technical_Metadata___Column[[#This Row],[Schema/Database Name]]) &lt;&gt; 1, 0, 1)</f>
        <v>1</v>
      </c>
      <c r="AD52" s="11">
        <f>IF(ISERROR(FIND("  ",Calculate_Technical_Metadata___Column[[#This Row],[System/Data Subject Area Name]], 1))=TRUE, 1, 0)</f>
        <v>1</v>
      </c>
      <c r="AE52" s="11">
        <f>IF(ISERROR(FIND(" ",Calculate_Technical_Metadata___Column[[#This Row],[Schema/Database Name]], 1))=TRUE, 1, 0)</f>
        <v>1</v>
      </c>
      <c r="AF52" s="11">
        <f>IF(OR(ISERROR(FIND(" ",Calculate_Technical_Metadata___Column[[#This Row],[Data Set Name]], 1))=TRUE, ISERROR(FIND("__",Calculate_Technical_Metadata___Column[[#This Row],[Data Set Name]], 1))=TRUE)=TRUE, 1, 0)</f>
        <v>1</v>
      </c>
      <c r="AG52" s="11">
        <f>IF(ISERROR(FIND(" ",Calculate_Technical_Metadata___Column[[#This Row],[Column Name]], 1))=TRUE, 1, 0)</f>
        <v>1</v>
      </c>
      <c r="AH52" s="11">
        <f>IF(ISERROR(FIND("  ",Calculate_Technical_Metadata___Column[[#This Row],[Updated By]], 1))=TRUE, 1, 0)</f>
        <v>1</v>
      </c>
      <c r="AJ52">
        <f>IF(OR(Calculate_Technical_Metadata___Column[[#This Row],[Data Zone (MDZ/GDZ)]]="GDZ",Calculate_Technical_Metadata___Column[[#This Row],[Data Zone (MDZ/GDZ)]]= "MDZ",Calculate_Technical_Metadata___Column[[#This Row],[Data Zone (MDZ/GDZ)]]= "INVX Data Lake")=TRUE, 1, 0)</f>
        <v>1</v>
      </c>
      <c r="AK52" s="11">
        <f>IF(OR(Calculate_Technical_Metadata___Column[[#This Row],[PII/Non-PII]]="PII",Calculate_Technical_Metadata___Column[[#This Row],[PII/Non-PII]]= "Non-PII")=TRUE, 1, 0)</f>
        <v>1</v>
      </c>
      <c r="AL52" s="11" t="str">
        <f xml:space="preserve"> IF(ISERROR(FIND("(",Calculate_Technical_Metadata___Column[[#This Row],[Type]], 1)) = FALSE, _xlfn.TEXTBEFORE(Calculate_Technical_Metadata___Column[[#This Row],[Type]], "("),Calculate_Technical_Metadata___Column[[#This Row],[Type]])</f>
        <v>string</v>
      </c>
      <c r="AM52" s="11">
        <f>IF(COUNTIF(Type!A:A,Calculate_Technical_Metadata___Column[[#This Row],[Type]]) &gt; 0, 1, 0)</f>
        <v>1</v>
      </c>
      <c r="AN52" s="13">
        <f>IF(OR(Calculate_Technical_Metadata___Column[[#This Row],[Nullable]]="Yes",Calculate_Technical_Metadata___Column[[#This Row],[Nullable]]="No")=TRUE, 1, 0)</f>
        <v>1</v>
      </c>
    </row>
    <row r="53" spans="1:40" x14ac:dyDescent="0.3">
      <c r="A53" s="73" t="s">
        <v>493</v>
      </c>
      <c r="B53" s="73" t="s">
        <v>39</v>
      </c>
      <c r="C53" s="73" t="s">
        <v>470</v>
      </c>
      <c r="D53" s="73" t="s">
        <v>495</v>
      </c>
      <c r="E53" t="s">
        <v>42</v>
      </c>
      <c r="F53" s="73" t="s">
        <v>43</v>
      </c>
      <c r="G53" s="73" t="s">
        <v>45</v>
      </c>
      <c r="H53" s="73" t="s">
        <v>472</v>
      </c>
      <c r="I53" t="s">
        <v>47</v>
      </c>
      <c r="J53" s="73" t="s">
        <v>52</v>
      </c>
      <c r="K53" s="71">
        <v>45372</v>
      </c>
      <c r="L53" s="73" t="s">
        <v>49</v>
      </c>
      <c r="N53" s="11">
        <f>IF(ISBLANK(Calculate_Technical_Metadata___Column[[#This Row],[System/Data Subject Area Name]])=TRUE, 0, 1)</f>
        <v>1</v>
      </c>
      <c r="O53" s="11">
        <f>IF(ISBLANK(Calculate_Technical_Metadata___Column[[#This Row],[Schema/Database Name]])=TRUE, 0, 1)</f>
        <v>1</v>
      </c>
      <c r="P53" s="11">
        <f>IF(ISBLANK(Calculate_Technical_Metadata___Column[[#This Row],[Data Set Name]])=TRUE, 0, 1)</f>
        <v>1</v>
      </c>
      <c r="Q53" s="11">
        <f>IF(ISBLANK(Calculate_Technical_Metadata___Column[[#This Row],[Column Name]])=TRUE, 0, 1)</f>
        <v>1</v>
      </c>
      <c r="R53" s="11">
        <f>IF(ISBLANK(Calculate_Technical_Metadata___Column[[#This Row],[Data Zone (MDZ/GDZ)]])=TRUE, 0, 1)</f>
        <v>1</v>
      </c>
      <c r="S53" s="11">
        <f>IF(ISBLANK(Calculate_Technical_Metadata___Column[[#This Row],[PII/Non-PII]])=TRUE, 0, 1)</f>
        <v>1</v>
      </c>
      <c r="T53" s="11">
        <f>IF(ISBLANK(Calculate_Technical_Metadata___Column[[#This Row],[Type]])=TRUE, 0, 1)</f>
        <v>1</v>
      </c>
      <c r="U53" s="11">
        <f>IF(ISBLANK(Calculate_Technical_Metadata___Column[[#This Row],[Format]])=TRUE, 0, 1)</f>
        <v>1</v>
      </c>
      <c r="V53" s="11">
        <f>IF(ISBLANK(Calculate_Technical_Metadata___Column[[#This Row],[Nullable]])=TRUE, 0, 1)</f>
        <v>1</v>
      </c>
      <c r="W53" s="11">
        <f>IF(ISBLANK(Calculate_Technical_Metadata___Column[[#This Row],[Updated Date ]])=TRUE, 0, 1)</f>
        <v>1</v>
      </c>
      <c r="X53" s="11">
        <f>IF(ISBLANK(Calculate_Technical_Metadata___Column[[#This Row],[Updated By]])=TRUE, 0, 1)</f>
        <v>1</v>
      </c>
      <c r="Z53">
        <f>IF(COUNTIFS('Cal_Technical - Data Set'!A:A, Calculate_Technical_Metadata___Column[[#This Row],[Data Set Name]]) &gt; 0, 1,0)</f>
        <v>1</v>
      </c>
      <c r="AB53">
        <f>IF( COUNTIFS(C:C, Calculate_Technical_Metadata___Column[[#This Row],[Data Set Name]], D:D, Calculate_Technical_Metadata___Column[[#This Row],[Column Name]], A:A, Calculate_Technical_Metadata___Column[[#This Row],[System/Data Subject Area Name]], B:B, Calculate_Technical_Metadata___Column[[#This Row],[Schema/Database Name]]) &lt;&gt; 1, 0, 1)</f>
        <v>1</v>
      </c>
      <c r="AD53" s="11">
        <f>IF(ISERROR(FIND("  ",Calculate_Technical_Metadata___Column[[#This Row],[System/Data Subject Area Name]], 1))=TRUE, 1, 0)</f>
        <v>1</v>
      </c>
      <c r="AE53" s="11">
        <f>IF(ISERROR(FIND(" ",Calculate_Technical_Metadata___Column[[#This Row],[Schema/Database Name]], 1))=TRUE, 1, 0)</f>
        <v>1</v>
      </c>
      <c r="AF53" s="11">
        <f>IF(OR(ISERROR(FIND(" ",Calculate_Technical_Metadata___Column[[#This Row],[Data Set Name]], 1))=TRUE, ISERROR(FIND("__",Calculate_Technical_Metadata___Column[[#This Row],[Data Set Name]], 1))=TRUE)=TRUE, 1, 0)</f>
        <v>1</v>
      </c>
      <c r="AG53" s="11">
        <f>IF(ISERROR(FIND(" ",Calculate_Technical_Metadata___Column[[#This Row],[Column Name]], 1))=TRUE, 1, 0)</f>
        <v>1</v>
      </c>
      <c r="AH53" s="11">
        <f>IF(ISERROR(FIND("  ",Calculate_Technical_Metadata___Column[[#This Row],[Updated By]], 1))=TRUE, 1, 0)</f>
        <v>1</v>
      </c>
      <c r="AJ53">
        <f>IF(OR(Calculate_Technical_Metadata___Column[[#This Row],[Data Zone (MDZ/GDZ)]]="GDZ",Calculate_Technical_Metadata___Column[[#This Row],[Data Zone (MDZ/GDZ)]]= "MDZ",Calculate_Technical_Metadata___Column[[#This Row],[Data Zone (MDZ/GDZ)]]= "INVX Data Lake")=TRUE, 1, 0)</f>
        <v>1</v>
      </c>
      <c r="AK53" s="11">
        <f>IF(OR(Calculate_Technical_Metadata___Column[[#This Row],[PII/Non-PII]]="PII",Calculate_Technical_Metadata___Column[[#This Row],[PII/Non-PII]]= "Non-PII")=TRUE, 1, 0)</f>
        <v>1</v>
      </c>
      <c r="AL53" s="11" t="str">
        <f xml:space="preserve"> IF(ISERROR(FIND("(",Calculate_Technical_Metadata___Column[[#This Row],[Type]], 1)) = FALSE, _xlfn.TEXTBEFORE(Calculate_Technical_Metadata___Column[[#This Row],[Type]], "("),Calculate_Technical_Metadata___Column[[#This Row],[Type]])</f>
        <v>string</v>
      </c>
      <c r="AM53" s="11">
        <f>IF(COUNTIF(Type!A:A,Calculate_Technical_Metadata___Column[[#This Row],[Type]]) &gt; 0, 1, 0)</f>
        <v>1</v>
      </c>
      <c r="AN53" s="13">
        <f>IF(OR(Calculate_Technical_Metadata___Column[[#This Row],[Nullable]]="Yes",Calculate_Technical_Metadata___Column[[#This Row],[Nullable]]="No")=TRUE, 1, 0)</f>
        <v>1</v>
      </c>
    </row>
    <row r="54" spans="1:40" x14ac:dyDescent="0.3">
      <c r="A54" s="73" t="s">
        <v>493</v>
      </c>
      <c r="B54" s="73" t="s">
        <v>39</v>
      </c>
      <c r="C54" s="73" t="s">
        <v>470</v>
      </c>
      <c r="D54" s="73" t="s">
        <v>496</v>
      </c>
      <c r="E54" t="s">
        <v>42</v>
      </c>
      <c r="F54" s="73" t="s">
        <v>43</v>
      </c>
      <c r="G54" s="73" t="s">
        <v>45</v>
      </c>
      <c r="H54" s="73" t="s">
        <v>472</v>
      </c>
      <c r="I54" t="s">
        <v>47</v>
      </c>
      <c r="J54" s="73" t="s">
        <v>52</v>
      </c>
      <c r="K54" s="71">
        <v>45372</v>
      </c>
      <c r="L54" s="73" t="s">
        <v>49</v>
      </c>
      <c r="N54" s="11">
        <f>IF(ISBLANK(Calculate_Technical_Metadata___Column[[#This Row],[System/Data Subject Area Name]])=TRUE, 0, 1)</f>
        <v>1</v>
      </c>
      <c r="O54" s="11">
        <f>IF(ISBLANK(Calculate_Technical_Metadata___Column[[#This Row],[Schema/Database Name]])=TRUE, 0, 1)</f>
        <v>1</v>
      </c>
      <c r="P54" s="11">
        <f>IF(ISBLANK(Calculate_Technical_Metadata___Column[[#This Row],[Data Set Name]])=TRUE, 0, 1)</f>
        <v>1</v>
      </c>
      <c r="Q54" s="11">
        <f>IF(ISBLANK(Calculate_Technical_Metadata___Column[[#This Row],[Column Name]])=TRUE, 0, 1)</f>
        <v>1</v>
      </c>
      <c r="R54" s="11">
        <f>IF(ISBLANK(Calculate_Technical_Metadata___Column[[#This Row],[Data Zone (MDZ/GDZ)]])=TRUE, 0, 1)</f>
        <v>1</v>
      </c>
      <c r="S54" s="11">
        <f>IF(ISBLANK(Calculate_Technical_Metadata___Column[[#This Row],[PII/Non-PII]])=TRUE, 0, 1)</f>
        <v>1</v>
      </c>
      <c r="T54" s="11">
        <f>IF(ISBLANK(Calculate_Technical_Metadata___Column[[#This Row],[Type]])=TRUE, 0, 1)</f>
        <v>1</v>
      </c>
      <c r="U54" s="11">
        <f>IF(ISBLANK(Calculate_Technical_Metadata___Column[[#This Row],[Format]])=TRUE, 0, 1)</f>
        <v>1</v>
      </c>
      <c r="V54" s="11">
        <f>IF(ISBLANK(Calculate_Technical_Metadata___Column[[#This Row],[Nullable]])=TRUE, 0, 1)</f>
        <v>1</v>
      </c>
      <c r="W54" s="11">
        <f>IF(ISBLANK(Calculate_Technical_Metadata___Column[[#This Row],[Updated Date ]])=TRUE, 0, 1)</f>
        <v>1</v>
      </c>
      <c r="X54" s="11">
        <f>IF(ISBLANK(Calculate_Technical_Metadata___Column[[#This Row],[Updated By]])=TRUE, 0, 1)</f>
        <v>1</v>
      </c>
      <c r="Z54">
        <f>IF(COUNTIFS('Cal_Technical - Data Set'!A:A, Calculate_Technical_Metadata___Column[[#This Row],[Data Set Name]]) &gt; 0, 1,0)</f>
        <v>1</v>
      </c>
      <c r="AB54">
        <f>IF( COUNTIFS(C:C, Calculate_Technical_Metadata___Column[[#This Row],[Data Set Name]], D:D, Calculate_Technical_Metadata___Column[[#This Row],[Column Name]], A:A, Calculate_Technical_Metadata___Column[[#This Row],[System/Data Subject Area Name]], B:B, Calculate_Technical_Metadata___Column[[#This Row],[Schema/Database Name]]) &lt;&gt; 1, 0, 1)</f>
        <v>1</v>
      </c>
      <c r="AD54" s="11">
        <f>IF(ISERROR(FIND("  ",Calculate_Technical_Metadata___Column[[#This Row],[System/Data Subject Area Name]], 1))=TRUE, 1, 0)</f>
        <v>1</v>
      </c>
      <c r="AE54" s="11">
        <f>IF(ISERROR(FIND(" ",Calculate_Technical_Metadata___Column[[#This Row],[Schema/Database Name]], 1))=TRUE, 1, 0)</f>
        <v>1</v>
      </c>
      <c r="AF54" s="11">
        <f>IF(OR(ISERROR(FIND(" ",Calculate_Technical_Metadata___Column[[#This Row],[Data Set Name]], 1))=TRUE, ISERROR(FIND("__",Calculate_Technical_Metadata___Column[[#This Row],[Data Set Name]], 1))=TRUE)=TRUE, 1, 0)</f>
        <v>1</v>
      </c>
      <c r="AG54" s="11">
        <f>IF(ISERROR(FIND(" ",Calculate_Technical_Metadata___Column[[#This Row],[Column Name]], 1))=TRUE, 1, 0)</f>
        <v>1</v>
      </c>
      <c r="AH54" s="11">
        <f>IF(ISERROR(FIND("  ",Calculate_Technical_Metadata___Column[[#This Row],[Updated By]], 1))=TRUE, 1, 0)</f>
        <v>1</v>
      </c>
      <c r="AJ54">
        <f>IF(OR(Calculate_Technical_Metadata___Column[[#This Row],[Data Zone (MDZ/GDZ)]]="GDZ",Calculate_Technical_Metadata___Column[[#This Row],[Data Zone (MDZ/GDZ)]]= "MDZ",Calculate_Technical_Metadata___Column[[#This Row],[Data Zone (MDZ/GDZ)]]= "INVX Data Lake")=TRUE, 1, 0)</f>
        <v>1</v>
      </c>
      <c r="AK54" s="11">
        <f>IF(OR(Calculate_Technical_Metadata___Column[[#This Row],[PII/Non-PII]]="PII",Calculate_Technical_Metadata___Column[[#This Row],[PII/Non-PII]]= "Non-PII")=TRUE, 1, 0)</f>
        <v>1</v>
      </c>
      <c r="AL54" s="11" t="str">
        <f xml:space="preserve"> IF(ISERROR(FIND("(",Calculate_Technical_Metadata___Column[[#This Row],[Type]], 1)) = FALSE, _xlfn.TEXTBEFORE(Calculate_Technical_Metadata___Column[[#This Row],[Type]], "("),Calculate_Technical_Metadata___Column[[#This Row],[Type]])</f>
        <v>string</v>
      </c>
      <c r="AM54" s="11">
        <f>IF(COUNTIF(Type!A:A,Calculate_Technical_Metadata___Column[[#This Row],[Type]]) &gt; 0, 1, 0)</f>
        <v>1</v>
      </c>
      <c r="AN54" s="13">
        <f>IF(OR(Calculate_Technical_Metadata___Column[[#This Row],[Nullable]]="Yes",Calculate_Technical_Metadata___Column[[#This Row],[Nullable]]="No")=TRUE, 1, 0)</f>
        <v>1</v>
      </c>
    </row>
    <row r="55" spans="1:40" x14ac:dyDescent="0.3">
      <c r="A55" s="73" t="s">
        <v>493</v>
      </c>
      <c r="B55" s="73" t="s">
        <v>39</v>
      </c>
      <c r="C55" s="73" t="s">
        <v>470</v>
      </c>
      <c r="D55" s="73" t="s">
        <v>497</v>
      </c>
      <c r="E55" t="s">
        <v>42</v>
      </c>
      <c r="F55" s="73" t="s">
        <v>43</v>
      </c>
      <c r="G55" s="73" t="s">
        <v>76</v>
      </c>
      <c r="H55" s="73" t="s">
        <v>55</v>
      </c>
      <c r="I55" t="s">
        <v>47</v>
      </c>
      <c r="J55" s="73" t="s">
        <v>52</v>
      </c>
      <c r="K55" s="71">
        <v>45372</v>
      </c>
      <c r="L55" s="73" t="s">
        <v>49</v>
      </c>
      <c r="N55" s="11">
        <f>IF(ISBLANK(Calculate_Technical_Metadata___Column[[#This Row],[System/Data Subject Area Name]])=TRUE, 0, 1)</f>
        <v>1</v>
      </c>
      <c r="O55" s="11">
        <f>IF(ISBLANK(Calculate_Technical_Metadata___Column[[#This Row],[Schema/Database Name]])=TRUE, 0, 1)</f>
        <v>1</v>
      </c>
      <c r="P55" s="11">
        <f>IF(ISBLANK(Calculate_Technical_Metadata___Column[[#This Row],[Data Set Name]])=TRUE, 0, 1)</f>
        <v>1</v>
      </c>
      <c r="Q55" s="11">
        <f>IF(ISBLANK(Calculate_Technical_Metadata___Column[[#This Row],[Column Name]])=TRUE, 0, 1)</f>
        <v>1</v>
      </c>
      <c r="R55" s="11">
        <f>IF(ISBLANK(Calculate_Technical_Metadata___Column[[#This Row],[Data Zone (MDZ/GDZ)]])=TRUE, 0, 1)</f>
        <v>1</v>
      </c>
      <c r="S55" s="11">
        <f>IF(ISBLANK(Calculate_Technical_Metadata___Column[[#This Row],[PII/Non-PII]])=TRUE, 0, 1)</f>
        <v>1</v>
      </c>
      <c r="T55" s="11">
        <f>IF(ISBLANK(Calculate_Technical_Metadata___Column[[#This Row],[Type]])=TRUE, 0, 1)</f>
        <v>1</v>
      </c>
      <c r="U55" s="11">
        <f>IF(ISBLANK(Calculate_Technical_Metadata___Column[[#This Row],[Format]])=TRUE, 0, 1)</f>
        <v>1</v>
      </c>
      <c r="V55" s="11">
        <f>IF(ISBLANK(Calculate_Technical_Metadata___Column[[#This Row],[Nullable]])=TRUE, 0, 1)</f>
        <v>1</v>
      </c>
      <c r="W55" s="11">
        <f>IF(ISBLANK(Calculate_Technical_Metadata___Column[[#This Row],[Updated Date ]])=TRUE, 0, 1)</f>
        <v>1</v>
      </c>
      <c r="X55" s="11">
        <f>IF(ISBLANK(Calculate_Technical_Metadata___Column[[#This Row],[Updated By]])=TRUE, 0, 1)</f>
        <v>1</v>
      </c>
      <c r="Z55">
        <f>IF(COUNTIFS('Cal_Technical - Data Set'!A:A, Calculate_Technical_Metadata___Column[[#This Row],[Data Set Name]]) &gt; 0, 1,0)</f>
        <v>1</v>
      </c>
      <c r="AB55">
        <f>IF( COUNTIFS(C:C, Calculate_Technical_Metadata___Column[[#This Row],[Data Set Name]], D:D, Calculate_Technical_Metadata___Column[[#This Row],[Column Name]], A:A, Calculate_Technical_Metadata___Column[[#This Row],[System/Data Subject Area Name]], B:B, Calculate_Technical_Metadata___Column[[#This Row],[Schema/Database Name]]) &lt;&gt; 1, 0, 1)</f>
        <v>1</v>
      </c>
      <c r="AD55" s="11">
        <f>IF(ISERROR(FIND("  ",Calculate_Technical_Metadata___Column[[#This Row],[System/Data Subject Area Name]], 1))=TRUE, 1, 0)</f>
        <v>1</v>
      </c>
      <c r="AE55" s="11">
        <f>IF(ISERROR(FIND(" ",Calculate_Technical_Metadata___Column[[#This Row],[Schema/Database Name]], 1))=TRUE, 1, 0)</f>
        <v>1</v>
      </c>
      <c r="AF55" s="11">
        <f>IF(OR(ISERROR(FIND(" ",Calculate_Technical_Metadata___Column[[#This Row],[Data Set Name]], 1))=TRUE, ISERROR(FIND("__",Calculate_Technical_Metadata___Column[[#This Row],[Data Set Name]], 1))=TRUE)=TRUE, 1, 0)</f>
        <v>1</v>
      </c>
      <c r="AG55" s="11">
        <f>IF(ISERROR(FIND(" ",Calculate_Technical_Metadata___Column[[#This Row],[Column Name]], 1))=TRUE, 1, 0)</f>
        <v>1</v>
      </c>
      <c r="AH55" s="11">
        <f>IF(ISERROR(FIND("  ",Calculate_Technical_Metadata___Column[[#This Row],[Updated By]], 1))=TRUE, 1, 0)</f>
        <v>1</v>
      </c>
      <c r="AJ55">
        <f>IF(OR(Calculate_Technical_Metadata___Column[[#This Row],[Data Zone (MDZ/GDZ)]]="GDZ",Calculate_Technical_Metadata___Column[[#This Row],[Data Zone (MDZ/GDZ)]]= "MDZ",Calculate_Technical_Metadata___Column[[#This Row],[Data Zone (MDZ/GDZ)]]= "INVX Data Lake")=TRUE, 1, 0)</f>
        <v>1</v>
      </c>
      <c r="AK55" s="11">
        <f>IF(OR(Calculate_Technical_Metadata___Column[[#This Row],[PII/Non-PII]]="PII",Calculate_Technical_Metadata___Column[[#This Row],[PII/Non-PII]]= "Non-PII")=TRUE, 1, 0)</f>
        <v>1</v>
      </c>
      <c r="AL55" s="11" t="str">
        <f xml:space="preserve"> IF(ISERROR(FIND("(",Calculate_Technical_Metadata___Column[[#This Row],[Type]], 1)) = FALSE, _xlfn.TEXTBEFORE(Calculate_Technical_Metadata___Column[[#This Row],[Type]], "("),Calculate_Technical_Metadata___Column[[#This Row],[Type]])</f>
        <v>integer</v>
      </c>
      <c r="AM55" s="11">
        <f>IF(COUNTIF(Type!A:A,Calculate_Technical_Metadata___Column[[#This Row],[Type]]) &gt; 0, 1, 0)</f>
        <v>1</v>
      </c>
      <c r="AN55" s="13">
        <f>IF(OR(Calculate_Technical_Metadata___Column[[#This Row],[Nullable]]="Yes",Calculate_Technical_Metadata___Column[[#This Row],[Nullable]]="No")=TRUE, 1, 0)</f>
        <v>1</v>
      </c>
    </row>
    <row r="56" spans="1:40" x14ac:dyDescent="0.3">
      <c r="A56" s="73" t="s">
        <v>493</v>
      </c>
      <c r="B56" s="73" t="s">
        <v>39</v>
      </c>
      <c r="C56" s="73" t="s">
        <v>470</v>
      </c>
      <c r="D56" s="73" t="s">
        <v>498</v>
      </c>
      <c r="E56" t="s">
        <v>42</v>
      </c>
      <c r="F56" s="73" t="s">
        <v>43</v>
      </c>
      <c r="G56" s="73" t="s">
        <v>45</v>
      </c>
      <c r="H56" s="73" t="s">
        <v>472</v>
      </c>
      <c r="I56" t="s">
        <v>47</v>
      </c>
      <c r="J56" s="73" t="s">
        <v>52</v>
      </c>
      <c r="K56" s="71">
        <v>45372</v>
      </c>
      <c r="L56" s="73" t="s">
        <v>49</v>
      </c>
      <c r="N56" s="11">
        <f>IF(ISBLANK(Calculate_Technical_Metadata___Column[[#This Row],[System/Data Subject Area Name]])=TRUE, 0, 1)</f>
        <v>1</v>
      </c>
      <c r="O56" s="11">
        <f>IF(ISBLANK(Calculate_Technical_Metadata___Column[[#This Row],[Schema/Database Name]])=TRUE, 0, 1)</f>
        <v>1</v>
      </c>
      <c r="P56" s="11">
        <f>IF(ISBLANK(Calculate_Technical_Metadata___Column[[#This Row],[Data Set Name]])=TRUE, 0, 1)</f>
        <v>1</v>
      </c>
      <c r="Q56" s="11">
        <f>IF(ISBLANK(Calculate_Technical_Metadata___Column[[#This Row],[Column Name]])=TRUE, 0, 1)</f>
        <v>1</v>
      </c>
      <c r="R56" s="11">
        <f>IF(ISBLANK(Calculate_Technical_Metadata___Column[[#This Row],[Data Zone (MDZ/GDZ)]])=TRUE, 0, 1)</f>
        <v>1</v>
      </c>
      <c r="S56" s="11">
        <f>IF(ISBLANK(Calculate_Technical_Metadata___Column[[#This Row],[PII/Non-PII]])=TRUE, 0, 1)</f>
        <v>1</v>
      </c>
      <c r="T56" s="11">
        <f>IF(ISBLANK(Calculate_Technical_Metadata___Column[[#This Row],[Type]])=TRUE, 0, 1)</f>
        <v>1</v>
      </c>
      <c r="U56" s="11">
        <f>IF(ISBLANK(Calculate_Technical_Metadata___Column[[#This Row],[Format]])=TRUE, 0, 1)</f>
        <v>1</v>
      </c>
      <c r="V56" s="11">
        <f>IF(ISBLANK(Calculate_Technical_Metadata___Column[[#This Row],[Nullable]])=TRUE, 0, 1)</f>
        <v>1</v>
      </c>
      <c r="W56" s="11">
        <f>IF(ISBLANK(Calculate_Technical_Metadata___Column[[#This Row],[Updated Date ]])=TRUE, 0, 1)</f>
        <v>1</v>
      </c>
      <c r="X56" s="11">
        <f>IF(ISBLANK(Calculate_Technical_Metadata___Column[[#This Row],[Updated By]])=TRUE, 0, 1)</f>
        <v>1</v>
      </c>
      <c r="Z56">
        <f>IF(COUNTIFS('Cal_Technical - Data Set'!A:A, Calculate_Technical_Metadata___Column[[#This Row],[Data Set Name]]) &gt; 0, 1,0)</f>
        <v>1</v>
      </c>
      <c r="AB56">
        <f>IF( COUNTIFS(C:C, Calculate_Technical_Metadata___Column[[#This Row],[Data Set Name]], D:D, Calculate_Technical_Metadata___Column[[#This Row],[Column Name]], A:A, Calculate_Technical_Metadata___Column[[#This Row],[System/Data Subject Area Name]], B:B, Calculate_Technical_Metadata___Column[[#This Row],[Schema/Database Name]]) &lt;&gt; 1, 0, 1)</f>
        <v>1</v>
      </c>
      <c r="AD56" s="11">
        <f>IF(ISERROR(FIND("  ",Calculate_Technical_Metadata___Column[[#This Row],[System/Data Subject Area Name]], 1))=TRUE, 1, 0)</f>
        <v>1</v>
      </c>
      <c r="AE56" s="11">
        <f>IF(ISERROR(FIND(" ",Calculate_Technical_Metadata___Column[[#This Row],[Schema/Database Name]], 1))=TRUE, 1, 0)</f>
        <v>1</v>
      </c>
      <c r="AF56" s="11">
        <f>IF(OR(ISERROR(FIND(" ",Calculate_Technical_Metadata___Column[[#This Row],[Data Set Name]], 1))=TRUE, ISERROR(FIND("__",Calculate_Technical_Metadata___Column[[#This Row],[Data Set Name]], 1))=TRUE)=TRUE, 1, 0)</f>
        <v>1</v>
      </c>
      <c r="AG56" s="11">
        <f>IF(ISERROR(FIND(" ",Calculate_Technical_Metadata___Column[[#This Row],[Column Name]], 1))=TRUE, 1, 0)</f>
        <v>1</v>
      </c>
      <c r="AH56" s="11">
        <f>IF(ISERROR(FIND("  ",Calculate_Technical_Metadata___Column[[#This Row],[Updated By]], 1))=TRUE, 1, 0)</f>
        <v>1</v>
      </c>
      <c r="AJ56">
        <f>IF(OR(Calculate_Technical_Metadata___Column[[#This Row],[Data Zone (MDZ/GDZ)]]="GDZ",Calculate_Technical_Metadata___Column[[#This Row],[Data Zone (MDZ/GDZ)]]= "MDZ",Calculate_Technical_Metadata___Column[[#This Row],[Data Zone (MDZ/GDZ)]]= "INVX Data Lake")=TRUE, 1, 0)</f>
        <v>1</v>
      </c>
      <c r="AK56" s="11">
        <f>IF(OR(Calculate_Technical_Metadata___Column[[#This Row],[PII/Non-PII]]="PII",Calculate_Technical_Metadata___Column[[#This Row],[PII/Non-PII]]= "Non-PII")=TRUE, 1, 0)</f>
        <v>1</v>
      </c>
      <c r="AL56" s="11" t="str">
        <f xml:space="preserve"> IF(ISERROR(FIND("(",Calculate_Technical_Metadata___Column[[#This Row],[Type]], 1)) = FALSE, _xlfn.TEXTBEFORE(Calculate_Technical_Metadata___Column[[#This Row],[Type]], "("),Calculate_Technical_Metadata___Column[[#This Row],[Type]])</f>
        <v>string</v>
      </c>
      <c r="AM56" s="11">
        <f>IF(COUNTIF(Type!A:A,Calculate_Technical_Metadata___Column[[#This Row],[Type]]) &gt; 0, 1, 0)</f>
        <v>1</v>
      </c>
      <c r="AN56" s="13">
        <f>IF(OR(Calculate_Technical_Metadata___Column[[#This Row],[Nullable]]="Yes",Calculate_Technical_Metadata___Column[[#This Row],[Nullable]]="No")=TRUE, 1, 0)</f>
        <v>1</v>
      </c>
    </row>
    <row r="57" spans="1:40" x14ac:dyDescent="0.3">
      <c r="A57" s="73" t="s">
        <v>499</v>
      </c>
      <c r="B57" s="73" t="s">
        <v>39</v>
      </c>
      <c r="C57" s="73" t="s">
        <v>470</v>
      </c>
      <c r="D57" s="73" t="s">
        <v>500</v>
      </c>
      <c r="E57" t="s">
        <v>42</v>
      </c>
      <c r="F57" s="73" t="s">
        <v>43</v>
      </c>
      <c r="G57" s="73" t="s">
        <v>45</v>
      </c>
      <c r="H57" s="73" t="s">
        <v>472</v>
      </c>
      <c r="I57" t="s">
        <v>47</v>
      </c>
      <c r="J57" s="73" t="s">
        <v>52</v>
      </c>
      <c r="K57" s="71">
        <v>45372</v>
      </c>
      <c r="L57" s="73" t="s">
        <v>49</v>
      </c>
      <c r="N57" s="11">
        <f>IF(ISBLANK(Calculate_Technical_Metadata___Column[[#This Row],[System/Data Subject Area Name]])=TRUE, 0, 1)</f>
        <v>1</v>
      </c>
      <c r="O57" s="11">
        <f>IF(ISBLANK(Calculate_Technical_Metadata___Column[[#This Row],[Schema/Database Name]])=TRUE, 0, 1)</f>
        <v>1</v>
      </c>
      <c r="P57" s="11">
        <f>IF(ISBLANK(Calculate_Technical_Metadata___Column[[#This Row],[Data Set Name]])=TRUE, 0, 1)</f>
        <v>1</v>
      </c>
      <c r="Q57" s="11">
        <f>IF(ISBLANK(Calculate_Technical_Metadata___Column[[#This Row],[Column Name]])=TRUE, 0, 1)</f>
        <v>1</v>
      </c>
      <c r="R57" s="11">
        <f>IF(ISBLANK(Calculate_Technical_Metadata___Column[[#This Row],[Data Zone (MDZ/GDZ)]])=TRUE, 0, 1)</f>
        <v>1</v>
      </c>
      <c r="S57" s="11">
        <f>IF(ISBLANK(Calculate_Technical_Metadata___Column[[#This Row],[PII/Non-PII]])=TRUE, 0, 1)</f>
        <v>1</v>
      </c>
      <c r="T57" s="11">
        <f>IF(ISBLANK(Calculate_Technical_Metadata___Column[[#This Row],[Type]])=TRUE, 0, 1)</f>
        <v>1</v>
      </c>
      <c r="U57" s="11">
        <f>IF(ISBLANK(Calculate_Technical_Metadata___Column[[#This Row],[Format]])=TRUE, 0, 1)</f>
        <v>1</v>
      </c>
      <c r="V57" s="11">
        <f>IF(ISBLANK(Calculate_Technical_Metadata___Column[[#This Row],[Nullable]])=TRUE, 0, 1)</f>
        <v>1</v>
      </c>
      <c r="W57" s="11">
        <f>IF(ISBLANK(Calculate_Technical_Metadata___Column[[#This Row],[Updated Date ]])=TRUE, 0, 1)</f>
        <v>1</v>
      </c>
      <c r="X57" s="11">
        <f>IF(ISBLANK(Calculate_Technical_Metadata___Column[[#This Row],[Updated By]])=TRUE, 0, 1)</f>
        <v>1</v>
      </c>
      <c r="Z57">
        <f>IF(COUNTIFS('Cal_Technical - Data Set'!A:A, Calculate_Technical_Metadata___Column[[#This Row],[Data Set Name]]) &gt; 0, 1,0)</f>
        <v>1</v>
      </c>
      <c r="AB57">
        <f>IF( COUNTIFS(C:C, Calculate_Technical_Metadata___Column[[#This Row],[Data Set Name]], D:D, Calculate_Technical_Metadata___Column[[#This Row],[Column Name]], A:A, Calculate_Technical_Metadata___Column[[#This Row],[System/Data Subject Area Name]], B:B, Calculate_Technical_Metadata___Column[[#This Row],[Schema/Database Name]]) &lt;&gt; 1, 0, 1)</f>
        <v>1</v>
      </c>
      <c r="AD57" s="11">
        <f>IF(ISERROR(FIND("  ",Calculate_Technical_Metadata___Column[[#This Row],[System/Data Subject Area Name]], 1))=TRUE, 1, 0)</f>
        <v>1</v>
      </c>
      <c r="AE57" s="11">
        <f>IF(ISERROR(FIND(" ",Calculate_Technical_Metadata___Column[[#This Row],[Schema/Database Name]], 1))=TRUE, 1, 0)</f>
        <v>1</v>
      </c>
      <c r="AF57" s="11">
        <f>IF(OR(ISERROR(FIND(" ",Calculate_Technical_Metadata___Column[[#This Row],[Data Set Name]], 1))=TRUE, ISERROR(FIND("__",Calculate_Technical_Metadata___Column[[#This Row],[Data Set Name]], 1))=TRUE)=TRUE, 1, 0)</f>
        <v>1</v>
      </c>
      <c r="AG57" s="11">
        <f>IF(ISERROR(FIND(" ",Calculate_Technical_Metadata___Column[[#This Row],[Column Name]], 1))=TRUE, 1, 0)</f>
        <v>1</v>
      </c>
      <c r="AH57" s="11">
        <f>IF(ISERROR(FIND("  ",Calculate_Technical_Metadata___Column[[#This Row],[Updated By]], 1))=TRUE, 1, 0)</f>
        <v>1</v>
      </c>
      <c r="AJ57">
        <f>IF(OR(Calculate_Technical_Metadata___Column[[#This Row],[Data Zone (MDZ/GDZ)]]="GDZ",Calculate_Technical_Metadata___Column[[#This Row],[Data Zone (MDZ/GDZ)]]= "MDZ",Calculate_Technical_Metadata___Column[[#This Row],[Data Zone (MDZ/GDZ)]]= "INVX Data Lake")=TRUE, 1, 0)</f>
        <v>1</v>
      </c>
      <c r="AK57" s="11">
        <f>IF(OR(Calculate_Technical_Metadata___Column[[#This Row],[PII/Non-PII]]="PII",Calculate_Technical_Metadata___Column[[#This Row],[PII/Non-PII]]= "Non-PII")=TRUE, 1, 0)</f>
        <v>1</v>
      </c>
      <c r="AL57" s="11" t="str">
        <f xml:space="preserve"> IF(ISERROR(FIND("(",Calculate_Technical_Metadata___Column[[#This Row],[Type]], 1)) = FALSE, _xlfn.TEXTBEFORE(Calculate_Technical_Metadata___Column[[#This Row],[Type]], "("),Calculate_Technical_Metadata___Column[[#This Row],[Type]])</f>
        <v>string</v>
      </c>
      <c r="AM57" s="11">
        <f>IF(COUNTIF(Type!A:A,Calculate_Technical_Metadata___Column[[#This Row],[Type]]) &gt; 0, 1, 0)</f>
        <v>1</v>
      </c>
      <c r="AN57" s="13">
        <f>IF(OR(Calculate_Technical_Metadata___Column[[#This Row],[Nullable]]="Yes",Calculate_Technical_Metadata___Column[[#This Row],[Nullable]]="No")=TRUE, 1, 0)</f>
        <v>1</v>
      </c>
    </row>
    <row r="58" spans="1:40" x14ac:dyDescent="0.3">
      <c r="A58" s="73" t="s">
        <v>499</v>
      </c>
      <c r="B58" s="73" t="s">
        <v>39</v>
      </c>
      <c r="C58" s="73" t="s">
        <v>470</v>
      </c>
      <c r="D58" s="73" t="s">
        <v>501</v>
      </c>
      <c r="E58" t="s">
        <v>42</v>
      </c>
      <c r="F58" s="73" t="s">
        <v>43</v>
      </c>
      <c r="G58" s="73" t="s">
        <v>45</v>
      </c>
      <c r="H58" s="73" t="s">
        <v>472</v>
      </c>
      <c r="I58" t="s">
        <v>47</v>
      </c>
      <c r="J58" s="73" t="s">
        <v>52</v>
      </c>
      <c r="K58" s="71">
        <v>45372</v>
      </c>
      <c r="L58" s="73" t="s">
        <v>49</v>
      </c>
      <c r="N58" s="11">
        <f>IF(ISBLANK(Calculate_Technical_Metadata___Column[[#This Row],[System/Data Subject Area Name]])=TRUE, 0, 1)</f>
        <v>1</v>
      </c>
      <c r="O58" s="11">
        <f>IF(ISBLANK(Calculate_Technical_Metadata___Column[[#This Row],[Schema/Database Name]])=TRUE, 0, 1)</f>
        <v>1</v>
      </c>
      <c r="P58" s="11">
        <f>IF(ISBLANK(Calculate_Technical_Metadata___Column[[#This Row],[Data Set Name]])=TRUE, 0, 1)</f>
        <v>1</v>
      </c>
      <c r="Q58" s="11">
        <f>IF(ISBLANK(Calculate_Technical_Metadata___Column[[#This Row],[Column Name]])=TRUE, 0, 1)</f>
        <v>1</v>
      </c>
      <c r="R58" s="11">
        <f>IF(ISBLANK(Calculate_Technical_Metadata___Column[[#This Row],[Data Zone (MDZ/GDZ)]])=TRUE, 0, 1)</f>
        <v>1</v>
      </c>
      <c r="S58" s="11">
        <f>IF(ISBLANK(Calculate_Technical_Metadata___Column[[#This Row],[PII/Non-PII]])=TRUE, 0, 1)</f>
        <v>1</v>
      </c>
      <c r="T58" s="11">
        <f>IF(ISBLANK(Calculate_Technical_Metadata___Column[[#This Row],[Type]])=TRUE, 0, 1)</f>
        <v>1</v>
      </c>
      <c r="U58" s="11">
        <f>IF(ISBLANK(Calculate_Technical_Metadata___Column[[#This Row],[Format]])=TRUE, 0, 1)</f>
        <v>1</v>
      </c>
      <c r="V58" s="11">
        <f>IF(ISBLANK(Calculate_Technical_Metadata___Column[[#This Row],[Nullable]])=TRUE, 0, 1)</f>
        <v>1</v>
      </c>
      <c r="W58" s="11">
        <f>IF(ISBLANK(Calculate_Technical_Metadata___Column[[#This Row],[Updated Date ]])=TRUE, 0, 1)</f>
        <v>1</v>
      </c>
      <c r="X58" s="11">
        <f>IF(ISBLANK(Calculate_Technical_Metadata___Column[[#This Row],[Updated By]])=TRUE, 0, 1)</f>
        <v>1</v>
      </c>
      <c r="Z58">
        <f>IF(COUNTIFS('Cal_Technical - Data Set'!A:A, Calculate_Technical_Metadata___Column[[#This Row],[Data Set Name]]) &gt; 0, 1,0)</f>
        <v>1</v>
      </c>
      <c r="AB58">
        <f>IF( COUNTIFS(C:C, Calculate_Technical_Metadata___Column[[#This Row],[Data Set Name]], D:D, Calculate_Technical_Metadata___Column[[#This Row],[Column Name]], A:A, Calculate_Technical_Metadata___Column[[#This Row],[System/Data Subject Area Name]], B:B, Calculate_Technical_Metadata___Column[[#This Row],[Schema/Database Name]]) &lt;&gt; 1, 0, 1)</f>
        <v>1</v>
      </c>
      <c r="AD58" s="11">
        <f>IF(ISERROR(FIND("  ",Calculate_Technical_Metadata___Column[[#This Row],[System/Data Subject Area Name]], 1))=TRUE, 1, 0)</f>
        <v>1</v>
      </c>
      <c r="AE58" s="11">
        <f>IF(ISERROR(FIND(" ",Calculate_Technical_Metadata___Column[[#This Row],[Schema/Database Name]], 1))=TRUE, 1, 0)</f>
        <v>1</v>
      </c>
      <c r="AF58" s="11">
        <f>IF(OR(ISERROR(FIND(" ",Calculate_Technical_Metadata___Column[[#This Row],[Data Set Name]], 1))=TRUE, ISERROR(FIND("__",Calculate_Technical_Metadata___Column[[#This Row],[Data Set Name]], 1))=TRUE)=TRUE, 1, 0)</f>
        <v>1</v>
      </c>
      <c r="AG58" s="11">
        <f>IF(ISERROR(FIND(" ",Calculate_Technical_Metadata___Column[[#This Row],[Column Name]], 1))=TRUE, 1, 0)</f>
        <v>1</v>
      </c>
      <c r="AH58" s="11">
        <f>IF(ISERROR(FIND("  ",Calculate_Technical_Metadata___Column[[#This Row],[Updated By]], 1))=TRUE, 1, 0)</f>
        <v>1</v>
      </c>
      <c r="AJ58">
        <f>IF(OR(Calculate_Technical_Metadata___Column[[#This Row],[Data Zone (MDZ/GDZ)]]="GDZ",Calculate_Technical_Metadata___Column[[#This Row],[Data Zone (MDZ/GDZ)]]= "MDZ",Calculate_Technical_Metadata___Column[[#This Row],[Data Zone (MDZ/GDZ)]]= "INVX Data Lake")=TRUE, 1, 0)</f>
        <v>1</v>
      </c>
      <c r="AK58" s="11">
        <f>IF(OR(Calculate_Technical_Metadata___Column[[#This Row],[PII/Non-PII]]="PII",Calculate_Technical_Metadata___Column[[#This Row],[PII/Non-PII]]= "Non-PII")=TRUE, 1, 0)</f>
        <v>1</v>
      </c>
      <c r="AL58" s="11" t="str">
        <f xml:space="preserve"> IF(ISERROR(FIND("(",Calculate_Technical_Metadata___Column[[#This Row],[Type]], 1)) = FALSE, _xlfn.TEXTBEFORE(Calculate_Technical_Metadata___Column[[#This Row],[Type]], "("),Calculate_Technical_Metadata___Column[[#This Row],[Type]])</f>
        <v>string</v>
      </c>
      <c r="AM58" s="11">
        <f>IF(COUNTIF(Type!A:A,Calculate_Technical_Metadata___Column[[#This Row],[Type]]) &gt; 0, 1, 0)</f>
        <v>1</v>
      </c>
      <c r="AN58" s="13">
        <f>IF(OR(Calculate_Technical_Metadata___Column[[#This Row],[Nullable]]="Yes",Calculate_Technical_Metadata___Column[[#This Row],[Nullable]]="No")=TRUE, 1, 0)</f>
        <v>1</v>
      </c>
    </row>
    <row r="59" spans="1:40" x14ac:dyDescent="0.3">
      <c r="A59" s="73" t="s">
        <v>499</v>
      </c>
      <c r="B59" s="73" t="s">
        <v>39</v>
      </c>
      <c r="C59" s="73" t="s">
        <v>470</v>
      </c>
      <c r="D59" s="73" t="s">
        <v>502</v>
      </c>
      <c r="E59" t="s">
        <v>42</v>
      </c>
      <c r="F59" s="73" t="s">
        <v>43</v>
      </c>
      <c r="G59" s="73" t="s">
        <v>45</v>
      </c>
      <c r="H59" s="73" t="s">
        <v>472</v>
      </c>
      <c r="I59" t="s">
        <v>47</v>
      </c>
      <c r="J59" s="73" t="s">
        <v>52</v>
      </c>
      <c r="K59" s="71">
        <v>45372</v>
      </c>
      <c r="L59" s="73" t="s">
        <v>49</v>
      </c>
      <c r="N59" s="11">
        <f>IF(ISBLANK(Calculate_Technical_Metadata___Column[[#This Row],[System/Data Subject Area Name]])=TRUE, 0, 1)</f>
        <v>1</v>
      </c>
      <c r="O59" s="11">
        <f>IF(ISBLANK(Calculate_Technical_Metadata___Column[[#This Row],[Schema/Database Name]])=TRUE, 0, 1)</f>
        <v>1</v>
      </c>
      <c r="P59" s="11">
        <f>IF(ISBLANK(Calculate_Technical_Metadata___Column[[#This Row],[Data Set Name]])=TRUE, 0, 1)</f>
        <v>1</v>
      </c>
      <c r="Q59" s="11">
        <f>IF(ISBLANK(Calculate_Technical_Metadata___Column[[#This Row],[Column Name]])=TRUE, 0, 1)</f>
        <v>1</v>
      </c>
      <c r="R59" s="11">
        <f>IF(ISBLANK(Calculate_Technical_Metadata___Column[[#This Row],[Data Zone (MDZ/GDZ)]])=TRUE, 0, 1)</f>
        <v>1</v>
      </c>
      <c r="S59" s="11">
        <f>IF(ISBLANK(Calculate_Technical_Metadata___Column[[#This Row],[PII/Non-PII]])=TRUE, 0, 1)</f>
        <v>1</v>
      </c>
      <c r="T59" s="11">
        <f>IF(ISBLANK(Calculate_Technical_Metadata___Column[[#This Row],[Type]])=TRUE, 0, 1)</f>
        <v>1</v>
      </c>
      <c r="U59" s="11">
        <f>IF(ISBLANK(Calculate_Technical_Metadata___Column[[#This Row],[Format]])=TRUE, 0, 1)</f>
        <v>1</v>
      </c>
      <c r="V59" s="11">
        <f>IF(ISBLANK(Calculate_Technical_Metadata___Column[[#This Row],[Nullable]])=TRUE, 0, 1)</f>
        <v>1</v>
      </c>
      <c r="W59" s="11">
        <f>IF(ISBLANK(Calculate_Technical_Metadata___Column[[#This Row],[Updated Date ]])=TRUE, 0, 1)</f>
        <v>1</v>
      </c>
      <c r="X59" s="11">
        <f>IF(ISBLANK(Calculate_Technical_Metadata___Column[[#This Row],[Updated By]])=TRUE, 0, 1)</f>
        <v>1</v>
      </c>
      <c r="Z59">
        <f>IF(COUNTIFS('Cal_Technical - Data Set'!A:A, Calculate_Technical_Metadata___Column[[#This Row],[Data Set Name]]) &gt; 0, 1,0)</f>
        <v>1</v>
      </c>
      <c r="AB59">
        <f>IF( COUNTIFS(C:C, Calculate_Technical_Metadata___Column[[#This Row],[Data Set Name]], D:D, Calculate_Technical_Metadata___Column[[#This Row],[Column Name]], A:A, Calculate_Technical_Metadata___Column[[#This Row],[System/Data Subject Area Name]], B:B, Calculate_Technical_Metadata___Column[[#This Row],[Schema/Database Name]]) &lt;&gt; 1, 0, 1)</f>
        <v>1</v>
      </c>
      <c r="AD59" s="11">
        <f>IF(ISERROR(FIND("  ",Calculate_Technical_Metadata___Column[[#This Row],[System/Data Subject Area Name]], 1))=TRUE, 1, 0)</f>
        <v>1</v>
      </c>
      <c r="AE59" s="11">
        <f>IF(ISERROR(FIND(" ",Calculate_Technical_Metadata___Column[[#This Row],[Schema/Database Name]], 1))=TRUE, 1, 0)</f>
        <v>1</v>
      </c>
      <c r="AF59" s="11">
        <f>IF(OR(ISERROR(FIND(" ",Calculate_Technical_Metadata___Column[[#This Row],[Data Set Name]], 1))=TRUE, ISERROR(FIND("__",Calculate_Technical_Metadata___Column[[#This Row],[Data Set Name]], 1))=TRUE)=TRUE, 1, 0)</f>
        <v>1</v>
      </c>
      <c r="AG59" s="11">
        <f>IF(ISERROR(FIND(" ",Calculate_Technical_Metadata___Column[[#This Row],[Column Name]], 1))=TRUE, 1, 0)</f>
        <v>1</v>
      </c>
      <c r="AH59" s="11">
        <f>IF(ISERROR(FIND("  ",Calculate_Technical_Metadata___Column[[#This Row],[Updated By]], 1))=TRUE, 1, 0)</f>
        <v>1</v>
      </c>
      <c r="AJ59">
        <f>IF(OR(Calculate_Technical_Metadata___Column[[#This Row],[Data Zone (MDZ/GDZ)]]="GDZ",Calculate_Technical_Metadata___Column[[#This Row],[Data Zone (MDZ/GDZ)]]= "MDZ",Calculate_Technical_Metadata___Column[[#This Row],[Data Zone (MDZ/GDZ)]]= "INVX Data Lake")=TRUE, 1, 0)</f>
        <v>1</v>
      </c>
      <c r="AK59" s="11">
        <f>IF(OR(Calculate_Technical_Metadata___Column[[#This Row],[PII/Non-PII]]="PII",Calculate_Technical_Metadata___Column[[#This Row],[PII/Non-PII]]= "Non-PII")=TRUE, 1, 0)</f>
        <v>1</v>
      </c>
      <c r="AL59" s="11" t="str">
        <f xml:space="preserve"> IF(ISERROR(FIND("(",Calculate_Technical_Metadata___Column[[#This Row],[Type]], 1)) = FALSE, _xlfn.TEXTBEFORE(Calculate_Technical_Metadata___Column[[#This Row],[Type]], "("),Calculate_Technical_Metadata___Column[[#This Row],[Type]])</f>
        <v>string</v>
      </c>
      <c r="AM59" s="11">
        <f>IF(COUNTIF(Type!A:A,Calculate_Technical_Metadata___Column[[#This Row],[Type]]) &gt; 0, 1, 0)</f>
        <v>1</v>
      </c>
      <c r="AN59" s="13">
        <f>IF(OR(Calculate_Technical_Metadata___Column[[#This Row],[Nullable]]="Yes",Calculate_Technical_Metadata___Column[[#This Row],[Nullable]]="No")=TRUE, 1, 0)</f>
        <v>1</v>
      </c>
    </row>
    <row r="60" spans="1:40" x14ac:dyDescent="0.3">
      <c r="A60" s="73" t="s">
        <v>499</v>
      </c>
      <c r="B60" s="73" t="s">
        <v>39</v>
      </c>
      <c r="C60" s="73" t="s">
        <v>470</v>
      </c>
      <c r="D60" s="73" t="s">
        <v>503</v>
      </c>
      <c r="E60" t="s">
        <v>42</v>
      </c>
      <c r="F60" s="73" t="s">
        <v>43</v>
      </c>
      <c r="G60" s="73" t="s">
        <v>76</v>
      </c>
      <c r="H60" s="73" t="s">
        <v>55</v>
      </c>
      <c r="I60" t="s">
        <v>47</v>
      </c>
      <c r="J60" s="73" t="s">
        <v>52</v>
      </c>
      <c r="K60" s="71">
        <v>45372</v>
      </c>
      <c r="L60" s="73" t="s">
        <v>49</v>
      </c>
      <c r="N60" s="11">
        <f>IF(ISBLANK(Calculate_Technical_Metadata___Column[[#This Row],[System/Data Subject Area Name]])=TRUE, 0, 1)</f>
        <v>1</v>
      </c>
      <c r="O60" s="11">
        <f>IF(ISBLANK(Calculate_Technical_Metadata___Column[[#This Row],[Schema/Database Name]])=TRUE, 0, 1)</f>
        <v>1</v>
      </c>
      <c r="P60" s="11">
        <f>IF(ISBLANK(Calculate_Technical_Metadata___Column[[#This Row],[Data Set Name]])=TRUE, 0, 1)</f>
        <v>1</v>
      </c>
      <c r="Q60" s="11">
        <f>IF(ISBLANK(Calculate_Technical_Metadata___Column[[#This Row],[Column Name]])=TRUE, 0, 1)</f>
        <v>1</v>
      </c>
      <c r="R60" s="11">
        <f>IF(ISBLANK(Calculate_Technical_Metadata___Column[[#This Row],[Data Zone (MDZ/GDZ)]])=TRUE, 0, 1)</f>
        <v>1</v>
      </c>
      <c r="S60" s="11">
        <f>IF(ISBLANK(Calculate_Technical_Metadata___Column[[#This Row],[PII/Non-PII]])=TRUE, 0, 1)</f>
        <v>1</v>
      </c>
      <c r="T60" s="11">
        <f>IF(ISBLANK(Calculate_Technical_Metadata___Column[[#This Row],[Type]])=TRUE, 0, 1)</f>
        <v>1</v>
      </c>
      <c r="U60" s="11">
        <f>IF(ISBLANK(Calculate_Technical_Metadata___Column[[#This Row],[Format]])=TRUE, 0, 1)</f>
        <v>1</v>
      </c>
      <c r="V60" s="11">
        <f>IF(ISBLANK(Calculate_Technical_Metadata___Column[[#This Row],[Nullable]])=TRUE, 0, 1)</f>
        <v>1</v>
      </c>
      <c r="W60" s="11">
        <f>IF(ISBLANK(Calculate_Technical_Metadata___Column[[#This Row],[Updated Date ]])=TRUE, 0, 1)</f>
        <v>1</v>
      </c>
      <c r="X60" s="11">
        <f>IF(ISBLANK(Calculate_Technical_Metadata___Column[[#This Row],[Updated By]])=TRUE, 0, 1)</f>
        <v>1</v>
      </c>
      <c r="Z60">
        <f>IF(COUNTIFS('Cal_Technical - Data Set'!A:A, Calculate_Technical_Metadata___Column[[#This Row],[Data Set Name]]) &gt; 0, 1,0)</f>
        <v>1</v>
      </c>
      <c r="AB60">
        <f>IF( COUNTIFS(C:C, Calculate_Technical_Metadata___Column[[#This Row],[Data Set Name]], D:D, Calculate_Technical_Metadata___Column[[#This Row],[Column Name]], A:A, Calculate_Technical_Metadata___Column[[#This Row],[System/Data Subject Area Name]], B:B, Calculate_Technical_Metadata___Column[[#This Row],[Schema/Database Name]]) &lt;&gt; 1, 0, 1)</f>
        <v>1</v>
      </c>
      <c r="AD60" s="11">
        <f>IF(ISERROR(FIND("  ",Calculate_Technical_Metadata___Column[[#This Row],[System/Data Subject Area Name]], 1))=TRUE, 1, 0)</f>
        <v>1</v>
      </c>
      <c r="AE60" s="11">
        <f>IF(ISERROR(FIND(" ",Calculate_Technical_Metadata___Column[[#This Row],[Schema/Database Name]], 1))=TRUE, 1, 0)</f>
        <v>1</v>
      </c>
      <c r="AF60" s="11">
        <f>IF(OR(ISERROR(FIND(" ",Calculate_Technical_Metadata___Column[[#This Row],[Data Set Name]], 1))=TRUE, ISERROR(FIND("__",Calculate_Technical_Metadata___Column[[#This Row],[Data Set Name]], 1))=TRUE)=TRUE, 1, 0)</f>
        <v>1</v>
      </c>
      <c r="AG60" s="11">
        <f>IF(ISERROR(FIND(" ",Calculate_Technical_Metadata___Column[[#This Row],[Column Name]], 1))=TRUE, 1, 0)</f>
        <v>1</v>
      </c>
      <c r="AH60" s="11">
        <f>IF(ISERROR(FIND("  ",Calculate_Technical_Metadata___Column[[#This Row],[Updated By]], 1))=TRUE, 1, 0)</f>
        <v>1</v>
      </c>
      <c r="AJ60">
        <f>IF(OR(Calculate_Technical_Metadata___Column[[#This Row],[Data Zone (MDZ/GDZ)]]="GDZ",Calculate_Technical_Metadata___Column[[#This Row],[Data Zone (MDZ/GDZ)]]= "MDZ",Calculate_Technical_Metadata___Column[[#This Row],[Data Zone (MDZ/GDZ)]]= "INVX Data Lake")=TRUE, 1, 0)</f>
        <v>1</v>
      </c>
      <c r="AK60" s="11">
        <f>IF(OR(Calculate_Technical_Metadata___Column[[#This Row],[PII/Non-PII]]="PII",Calculate_Technical_Metadata___Column[[#This Row],[PII/Non-PII]]= "Non-PII")=TRUE, 1, 0)</f>
        <v>1</v>
      </c>
      <c r="AL60" s="11" t="str">
        <f xml:space="preserve"> IF(ISERROR(FIND("(",Calculate_Technical_Metadata___Column[[#This Row],[Type]], 1)) = FALSE, _xlfn.TEXTBEFORE(Calculate_Technical_Metadata___Column[[#This Row],[Type]], "("),Calculate_Technical_Metadata___Column[[#This Row],[Type]])</f>
        <v>integer</v>
      </c>
      <c r="AM60" s="11">
        <f>IF(COUNTIF(Type!A:A,Calculate_Technical_Metadata___Column[[#This Row],[Type]]) &gt; 0, 1, 0)</f>
        <v>1</v>
      </c>
      <c r="AN60" s="13">
        <f>IF(OR(Calculate_Technical_Metadata___Column[[#This Row],[Nullable]]="Yes",Calculate_Technical_Metadata___Column[[#This Row],[Nullable]]="No")=TRUE, 1, 0)</f>
        <v>1</v>
      </c>
    </row>
    <row r="61" spans="1:40" x14ac:dyDescent="0.3">
      <c r="A61" s="73" t="s">
        <v>499</v>
      </c>
      <c r="B61" s="73" t="s">
        <v>39</v>
      </c>
      <c r="C61" s="73" t="s">
        <v>470</v>
      </c>
      <c r="D61" s="73" t="s">
        <v>504</v>
      </c>
      <c r="E61" t="s">
        <v>42</v>
      </c>
      <c r="F61" s="73" t="s">
        <v>43</v>
      </c>
      <c r="G61" s="73" t="s">
        <v>45</v>
      </c>
      <c r="H61" s="73" t="s">
        <v>472</v>
      </c>
      <c r="I61" t="s">
        <v>47</v>
      </c>
      <c r="J61" s="73" t="s">
        <v>52</v>
      </c>
      <c r="K61" s="71">
        <v>45372</v>
      </c>
      <c r="L61" s="73" t="s">
        <v>49</v>
      </c>
      <c r="N61" s="11">
        <f>IF(ISBLANK(Calculate_Technical_Metadata___Column[[#This Row],[System/Data Subject Area Name]])=TRUE, 0, 1)</f>
        <v>1</v>
      </c>
      <c r="O61" s="11">
        <f>IF(ISBLANK(Calculate_Technical_Metadata___Column[[#This Row],[Schema/Database Name]])=TRUE, 0, 1)</f>
        <v>1</v>
      </c>
      <c r="P61" s="11">
        <f>IF(ISBLANK(Calculate_Technical_Metadata___Column[[#This Row],[Data Set Name]])=TRUE, 0, 1)</f>
        <v>1</v>
      </c>
      <c r="Q61" s="11">
        <f>IF(ISBLANK(Calculate_Technical_Metadata___Column[[#This Row],[Column Name]])=TRUE, 0, 1)</f>
        <v>1</v>
      </c>
      <c r="R61" s="11">
        <f>IF(ISBLANK(Calculate_Technical_Metadata___Column[[#This Row],[Data Zone (MDZ/GDZ)]])=TRUE, 0, 1)</f>
        <v>1</v>
      </c>
      <c r="S61" s="11">
        <f>IF(ISBLANK(Calculate_Technical_Metadata___Column[[#This Row],[PII/Non-PII]])=TRUE, 0, 1)</f>
        <v>1</v>
      </c>
      <c r="T61" s="11">
        <f>IF(ISBLANK(Calculate_Technical_Metadata___Column[[#This Row],[Type]])=TRUE, 0, 1)</f>
        <v>1</v>
      </c>
      <c r="U61" s="11">
        <f>IF(ISBLANK(Calculate_Technical_Metadata___Column[[#This Row],[Format]])=TRUE, 0, 1)</f>
        <v>1</v>
      </c>
      <c r="V61" s="11">
        <f>IF(ISBLANK(Calculate_Technical_Metadata___Column[[#This Row],[Nullable]])=TRUE, 0, 1)</f>
        <v>1</v>
      </c>
      <c r="W61" s="11">
        <f>IF(ISBLANK(Calculate_Technical_Metadata___Column[[#This Row],[Updated Date ]])=TRUE, 0, 1)</f>
        <v>1</v>
      </c>
      <c r="X61" s="11">
        <f>IF(ISBLANK(Calculate_Technical_Metadata___Column[[#This Row],[Updated By]])=TRUE, 0, 1)</f>
        <v>1</v>
      </c>
      <c r="Z61">
        <f>IF(COUNTIFS('Cal_Technical - Data Set'!A:A, Calculate_Technical_Metadata___Column[[#This Row],[Data Set Name]]) &gt; 0, 1,0)</f>
        <v>1</v>
      </c>
      <c r="AB61">
        <f>IF( COUNTIFS(C:C, Calculate_Technical_Metadata___Column[[#This Row],[Data Set Name]], D:D, Calculate_Technical_Metadata___Column[[#This Row],[Column Name]], A:A, Calculate_Technical_Metadata___Column[[#This Row],[System/Data Subject Area Name]], B:B, Calculate_Technical_Metadata___Column[[#This Row],[Schema/Database Name]]) &lt;&gt; 1, 0, 1)</f>
        <v>1</v>
      </c>
      <c r="AD61" s="11">
        <f>IF(ISERROR(FIND("  ",Calculate_Technical_Metadata___Column[[#This Row],[System/Data Subject Area Name]], 1))=TRUE, 1, 0)</f>
        <v>1</v>
      </c>
      <c r="AE61" s="11">
        <f>IF(ISERROR(FIND(" ",Calculate_Technical_Metadata___Column[[#This Row],[Schema/Database Name]], 1))=TRUE, 1, 0)</f>
        <v>1</v>
      </c>
      <c r="AF61" s="11">
        <f>IF(OR(ISERROR(FIND(" ",Calculate_Technical_Metadata___Column[[#This Row],[Data Set Name]], 1))=TRUE, ISERROR(FIND("__",Calculate_Technical_Metadata___Column[[#This Row],[Data Set Name]], 1))=TRUE)=TRUE, 1, 0)</f>
        <v>1</v>
      </c>
      <c r="AG61" s="11">
        <f>IF(ISERROR(FIND(" ",Calculate_Technical_Metadata___Column[[#This Row],[Column Name]], 1))=TRUE, 1, 0)</f>
        <v>1</v>
      </c>
      <c r="AH61" s="11">
        <f>IF(ISERROR(FIND("  ",Calculate_Technical_Metadata___Column[[#This Row],[Updated By]], 1))=TRUE, 1, 0)</f>
        <v>1</v>
      </c>
      <c r="AJ61">
        <f>IF(OR(Calculate_Technical_Metadata___Column[[#This Row],[Data Zone (MDZ/GDZ)]]="GDZ",Calculate_Technical_Metadata___Column[[#This Row],[Data Zone (MDZ/GDZ)]]= "MDZ",Calculate_Technical_Metadata___Column[[#This Row],[Data Zone (MDZ/GDZ)]]= "INVX Data Lake")=TRUE, 1, 0)</f>
        <v>1</v>
      </c>
      <c r="AK61" s="11">
        <f>IF(OR(Calculate_Technical_Metadata___Column[[#This Row],[PII/Non-PII]]="PII",Calculate_Technical_Metadata___Column[[#This Row],[PII/Non-PII]]= "Non-PII")=TRUE, 1, 0)</f>
        <v>1</v>
      </c>
      <c r="AL61" s="11" t="str">
        <f xml:space="preserve"> IF(ISERROR(FIND("(",Calculate_Technical_Metadata___Column[[#This Row],[Type]], 1)) = FALSE, _xlfn.TEXTBEFORE(Calculate_Technical_Metadata___Column[[#This Row],[Type]], "("),Calculate_Technical_Metadata___Column[[#This Row],[Type]])</f>
        <v>string</v>
      </c>
      <c r="AM61" s="11">
        <f>IF(COUNTIF(Type!A:A,Calculate_Technical_Metadata___Column[[#This Row],[Type]]) &gt; 0, 1, 0)</f>
        <v>1</v>
      </c>
      <c r="AN61" s="13">
        <f>IF(OR(Calculate_Technical_Metadata___Column[[#This Row],[Nullable]]="Yes",Calculate_Technical_Metadata___Column[[#This Row],[Nullable]]="No")=TRUE, 1, 0)</f>
        <v>1</v>
      </c>
    </row>
    <row r="62" spans="1:40" x14ac:dyDescent="0.3">
      <c r="A62" s="73" t="s">
        <v>505</v>
      </c>
      <c r="B62" s="73" t="s">
        <v>39</v>
      </c>
      <c r="C62" s="73" t="s">
        <v>470</v>
      </c>
      <c r="D62" s="73" t="s">
        <v>506</v>
      </c>
      <c r="E62" t="s">
        <v>42</v>
      </c>
      <c r="F62" s="73" t="s">
        <v>43</v>
      </c>
      <c r="G62" s="73" t="s">
        <v>45</v>
      </c>
      <c r="H62" s="73" t="s">
        <v>472</v>
      </c>
      <c r="I62" t="s">
        <v>47</v>
      </c>
      <c r="J62" s="73" t="s">
        <v>52</v>
      </c>
      <c r="K62" s="71">
        <v>45372</v>
      </c>
      <c r="L62" s="73" t="s">
        <v>49</v>
      </c>
      <c r="N62" s="11">
        <f>IF(ISBLANK(Calculate_Technical_Metadata___Column[[#This Row],[System/Data Subject Area Name]])=TRUE, 0, 1)</f>
        <v>1</v>
      </c>
      <c r="O62" s="11">
        <f>IF(ISBLANK(Calculate_Technical_Metadata___Column[[#This Row],[Schema/Database Name]])=TRUE, 0, 1)</f>
        <v>1</v>
      </c>
      <c r="P62" s="11">
        <f>IF(ISBLANK(Calculate_Technical_Metadata___Column[[#This Row],[Data Set Name]])=TRUE, 0, 1)</f>
        <v>1</v>
      </c>
      <c r="Q62" s="11">
        <f>IF(ISBLANK(Calculate_Technical_Metadata___Column[[#This Row],[Column Name]])=TRUE, 0, 1)</f>
        <v>1</v>
      </c>
      <c r="R62" s="11">
        <f>IF(ISBLANK(Calculate_Technical_Metadata___Column[[#This Row],[Data Zone (MDZ/GDZ)]])=TRUE, 0, 1)</f>
        <v>1</v>
      </c>
      <c r="S62" s="11">
        <f>IF(ISBLANK(Calculate_Technical_Metadata___Column[[#This Row],[PII/Non-PII]])=TRUE, 0, 1)</f>
        <v>1</v>
      </c>
      <c r="T62" s="11">
        <f>IF(ISBLANK(Calculate_Technical_Metadata___Column[[#This Row],[Type]])=TRUE, 0, 1)</f>
        <v>1</v>
      </c>
      <c r="U62" s="11">
        <f>IF(ISBLANK(Calculate_Technical_Metadata___Column[[#This Row],[Format]])=TRUE, 0, 1)</f>
        <v>1</v>
      </c>
      <c r="V62" s="11">
        <f>IF(ISBLANK(Calculate_Technical_Metadata___Column[[#This Row],[Nullable]])=TRUE, 0, 1)</f>
        <v>1</v>
      </c>
      <c r="W62" s="11">
        <f>IF(ISBLANK(Calculate_Technical_Metadata___Column[[#This Row],[Updated Date ]])=TRUE, 0, 1)</f>
        <v>1</v>
      </c>
      <c r="X62" s="11">
        <f>IF(ISBLANK(Calculate_Technical_Metadata___Column[[#This Row],[Updated By]])=TRUE, 0, 1)</f>
        <v>1</v>
      </c>
      <c r="Z62">
        <f>IF(COUNTIFS('Cal_Technical - Data Set'!A:A, Calculate_Technical_Metadata___Column[[#This Row],[Data Set Name]]) &gt; 0, 1,0)</f>
        <v>1</v>
      </c>
      <c r="AB62">
        <f>IF( COUNTIFS(C:C, Calculate_Technical_Metadata___Column[[#This Row],[Data Set Name]], D:D, Calculate_Technical_Metadata___Column[[#This Row],[Column Name]], A:A, Calculate_Technical_Metadata___Column[[#This Row],[System/Data Subject Area Name]], B:B, Calculate_Technical_Metadata___Column[[#This Row],[Schema/Database Name]]) &lt;&gt; 1, 0, 1)</f>
        <v>1</v>
      </c>
      <c r="AD62" s="11">
        <f>IF(ISERROR(FIND("  ",Calculate_Technical_Metadata___Column[[#This Row],[System/Data Subject Area Name]], 1))=TRUE, 1, 0)</f>
        <v>1</v>
      </c>
      <c r="AE62" s="11">
        <f>IF(ISERROR(FIND(" ",Calculate_Technical_Metadata___Column[[#This Row],[Schema/Database Name]], 1))=TRUE, 1, 0)</f>
        <v>1</v>
      </c>
      <c r="AF62" s="11">
        <f>IF(OR(ISERROR(FIND(" ",Calculate_Technical_Metadata___Column[[#This Row],[Data Set Name]], 1))=TRUE, ISERROR(FIND("__",Calculate_Technical_Metadata___Column[[#This Row],[Data Set Name]], 1))=TRUE)=TRUE, 1, 0)</f>
        <v>1</v>
      </c>
      <c r="AG62" s="11">
        <f>IF(ISERROR(FIND(" ",Calculate_Technical_Metadata___Column[[#This Row],[Column Name]], 1))=TRUE, 1, 0)</f>
        <v>1</v>
      </c>
      <c r="AH62" s="11">
        <f>IF(ISERROR(FIND("  ",Calculate_Technical_Metadata___Column[[#This Row],[Updated By]], 1))=TRUE, 1, 0)</f>
        <v>1</v>
      </c>
      <c r="AJ62">
        <f>IF(OR(Calculate_Technical_Metadata___Column[[#This Row],[Data Zone (MDZ/GDZ)]]="GDZ",Calculate_Technical_Metadata___Column[[#This Row],[Data Zone (MDZ/GDZ)]]= "MDZ",Calculate_Technical_Metadata___Column[[#This Row],[Data Zone (MDZ/GDZ)]]= "INVX Data Lake")=TRUE, 1, 0)</f>
        <v>1</v>
      </c>
      <c r="AK62" s="11">
        <f>IF(OR(Calculate_Technical_Metadata___Column[[#This Row],[PII/Non-PII]]="PII",Calculate_Technical_Metadata___Column[[#This Row],[PII/Non-PII]]= "Non-PII")=TRUE, 1, 0)</f>
        <v>1</v>
      </c>
      <c r="AL62" s="11" t="str">
        <f xml:space="preserve"> IF(ISERROR(FIND("(",Calculate_Technical_Metadata___Column[[#This Row],[Type]], 1)) = FALSE, _xlfn.TEXTBEFORE(Calculate_Technical_Metadata___Column[[#This Row],[Type]], "("),Calculate_Technical_Metadata___Column[[#This Row],[Type]])</f>
        <v>string</v>
      </c>
      <c r="AM62" s="11">
        <f>IF(COUNTIF(Type!A:A,Calculate_Technical_Metadata___Column[[#This Row],[Type]]) &gt; 0, 1, 0)</f>
        <v>1</v>
      </c>
      <c r="AN62" s="13">
        <f>IF(OR(Calculate_Technical_Metadata___Column[[#This Row],[Nullable]]="Yes",Calculate_Technical_Metadata___Column[[#This Row],[Nullable]]="No")=TRUE, 1, 0)</f>
        <v>1</v>
      </c>
    </row>
    <row r="63" spans="1:40" x14ac:dyDescent="0.3">
      <c r="A63" s="73" t="s">
        <v>505</v>
      </c>
      <c r="B63" s="73" t="s">
        <v>39</v>
      </c>
      <c r="C63" s="73" t="s">
        <v>470</v>
      </c>
      <c r="D63" s="73" t="s">
        <v>507</v>
      </c>
      <c r="E63" t="s">
        <v>42</v>
      </c>
      <c r="F63" s="73" t="s">
        <v>43</v>
      </c>
      <c r="G63" s="73" t="s">
        <v>45</v>
      </c>
      <c r="H63" s="73" t="s">
        <v>472</v>
      </c>
      <c r="I63" t="s">
        <v>47</v>
      </c>
      <c r="J63" s="73" t="s">
        <v>52</v>
      </c>
      <c r="K63" s="71">
        <v>45372</v>
      </c>
      <c r="L63" s="73" t="s">
        <v>49</v>
      </c>
      <c r="N63" s="11">
        <f>IF(ISBLANK(Calculate_Technical_Metadata___Column[[#This Row],[System/Data Subject Area Name]])=TRUE, 0, 1)</f>
        <v>1</v>
      </c>
      <c r="O63" s="11">
        <f>IF(ISBLANK(Calculate_Technical_Metadata___Column[[#This Row],[Schema/Database Name]])=TRUE, 0, 1)</f>
        <v>1</v>
      </c>
      <c r="P63" s="11">
        <f>IF(ISBLANK(Calculate_Technical_Metadata___Column[[#This Row],[Data Set Name]])=TRUE, 0, 1)</f>
        <v>1</v>
      </c>
      <c r="Q63" s="11">
        <f>IF(ISBLANK(Calculate_Technical_Metadata___Column[[#This Row],[Column Name]])=TRUE, 0, 1)</f>
        <v>1</v>
      </c>
      <c r="R63" s="11">
        <f>IF(ISBLANK(Calculate_Technical_Metadata___Column[[#This Row],[Data Zone (MDZ/GDZ)]])=TRUE, 0, 1)</f>
        <v>1</v>
      </c>
      <c r="S63" s="11">
        <f>IF(ISBLANK(Calculate_Technical_Metadata___Column[[#This Row],[PII/Non-PII]])=TRUE, 0, 1)</f>
        <v>1</v>
      </c>
      <c r="T63" s="11">
        <f>IF(ISBLANK(Calculate_Technical_Metadata___Column[[#This Row],[Type]])=TRUE, 0, 1)</f>
        <v>1</v>
      </c>
      <c r="U63" s="11">
        <f>IF(ISBLANK(Calculate_Technical_Metadata___Column[[#This Row],[Format]])=TRUE, 0, 1)</f>
        <v>1</v>
      </c>
      <c r="V63" s="11">
        <f>IF(ISBLANK(Calculate_Technical_Metadata___Column[[#This Row],[Nullable]])=TRUE, 0, 1)</f>
        <v>1</v>
      </c>
      <c r="W63" s="11">
        <f>IF(ISBLANK(Calculate_Technical_Metadata___Column[[#This Row],[Updated Date ]])=TRUE, 0, 1)</f>
        <v>1</v>
      </c>
      <c r="X63" s="11">
        <f>IF(ISBLANK(Calculate_Technical_Metadata___Column[[#This Row],[Updated By]])=TRUE, 0, 1)</f>
        <v>1</v>
      </c>
      <c r="Z63">
        <f>IF(COUNTIFS('Cal_Technical - Data Set'!A:A, Calculate_Technical_Metadata___Column[[#This Row],[Data Set Name]]) &gt; 0, 1,0)</f>
        <v>1</v>
      </c>
      <c r="AB63">
        <f>IF( COUNTIFS(C:C, Calculate_Technical_Metadata___Column[[#This Row],[Data Set Name]], D:D, Calculate_Technical_Metadata___Column[[#This Row],[Column Name]], A:A, Calculate_Technical_Metadata___Column[[#This Row],[System/Data Subject Area Name]], B:B, Calculate_Technical_Metadata___Column[[#This Row],[Schema/Database Name]]) &lt;&gt; 1, 0, 1)</f>
        <v>1</v>
      </c>
      <c r="AD63" s="11">
        <f>IF(ISERROR(FIND("  ",Calculate_Technical_Metadata___Column[[#This Row],[System/Data Subject Area Name]], 1))=TRUE, 1, 0)</f>
        <v>1</v>
      </c>
      <c r="AE63" s="11">
        <f>IF(ISERROR(FIND(" ",Calculate_Technical_Metadata___Column[[#This Row],[Schema/Database Name]], 1))=TRUE, 1, 0)</f>
        <v>1</v>
      </c>
      <c r="AF63" s="11">
        <f>IF(OR(ISERROR(FIND(" ",Calculate_Technical_Metadata___Column[[#This Row],[Data Set Name]], 1))=TRUE, ISERROR(FIND("__",Calculate_Technical_Metadata___Column[[#This Row],[Data Set Name]], 1))=TRUE)=TRUE, 1, 0)</f>
        <v>1</v>
      </c>
      <c r="AG63" s="11">
        <f>IF(ISERROR(FIND(" ",Calculate_Technical_Metadata___Column[[#This Row],[Column Name]], 1))=TRUE, 1, 0)</f>
        <v>1</v>
      </c>
      <c r="AH63" s="11">
        <f>IF(ISERROR(FIND("  ",Calculate_Technical_Metadata___Column[[#This Row],[Updated By]], 1))=TRUE, 1, 0)</f>
        <v>1</v>
      </c>
      <c r="AJ63">
        <f>IF(OR(Calculate_Technical_Metadata___Column[[#This Row],[Data Zone (MDZ/GDZ)]]="GDZ",Calculate_Technical_Metadata___Column[[#This Row],[Data Zone (MDZ/GDZ)]]= "MDZ",Calculate_Technical_Metadata___Column[[#This Row],[Data Zone (MDZ/GDZ)]]= "INVX Data Lake")=TRUE, 1, 0)</f>
        <v>1</v>
      </c>
      <c r="AK63" s="11">
        <f>IF(OR(Calculate_Technical_Metadata___Column[[#This Row],[PII/Non-PII]]="PII",Calculate_Technical_Metadata___Column[[#This Row],[PII/Non-PII]]= "Non-PII")=TRUE, 1, 0)</f>
        <v>1</v>
      </c>
      <c r="AL63" s="11" t="str">
        <f xml:space="preserve"> IF(ISERROR(FIND("(",Calculate_Technical_Metadata___Column[[#This Row],[Type]], 1)) = FALSE, _xlfn.TEXTBEFORE(Calculate_Technical_Metadata___Column[[#This Row],[Type]], "("),Calculate_Technical_Metadata___Column[[#This Row],[Type]])</f>
        <v>string</v>
      </c>
      <c r="AM63" s="11">
        <f>IF(COUNTIF(Type!A:A,Calculate_Technical_Metadata___Column[[#This Row],[Type]]) &gt; 0, 1, 0)</f>
        <v>1</v>
      </c>
      <c r="AN63" s="13">
        <f>IF(OR(Calculate_Technical_Metadata___Column[[#This Row],[Nullable]]="Yes",Calculate_Technical_Metadata___Column[[#This Row],[Nullable]]="No")=TRUE, 1, 0)</f>
        <v>1</v>
      </c>
    </row>
    <row r="64" spans="1:40" x14ac:dyDescent="0.3">
      <c r="A64" s="73" t="s">
        <v>505</v>
      </c>
      <c r="B64" s="73" t="s">
        <v>39</v>
      </c>
      <c r="C64" s="73" t="s">
        <v>470</v>
      </c>
      <c r="D64" s="73" t="s">
        <v>508</v>
      </c>
      <c r="E64" t="s">
        <v>42</v>
      </c>
      <c r="F64" s="73" t="s">
        <v>43</v>
      </c>
      <c r="G64" s="73" t="s">
        <v>45</v>
      </c>
      <c r="H64" s="73" t="s">
        <v>472</v>
      </c>
      <c r="I64" t="s">
        <v>47</v>
      </c>
      <c r="J64" s="73" t="s">
        <v>52</v>
      </c>
      <c r="K64" s="71">
        <v>45372</v>
      </c>
      <c r="L64" s="73" t="s">
        <v>49</v>
      </c>
      <c r="N64" s="11">
        <f>IF(ISBLANK(Calculate_Technical_Metadata___Column[[#This Row],[System/Data Subject Area Name]])=TRUE, 0, 1)</f>
        <v>1</v>
      </c>
      <c r="O64" s="11">
        <f>IF(ISBLANK(Calculate_Technical_Metadata___Column[[#This Row],[Schema/Database Name]])=TRUE, 0, 1)</f>
        <v>1</v>
      </c>
      <c r="P64" s="11">
        <f>IF(ISBLANK(Calculate_Technical_Metadata___Column[[#This Row],[Data Set Name]])=TRUE, 0, 1)</f>
        <v>1</v>
      </c>
      <c r="Q64" s="11">
        <f>IF(ISBLANK(Calculate_Technical_Metadata___Column[[#This Row],[Column Name]])=TRUE, 0, 1)</f>
        <v>1</v>
      </c>
      <c r="R64" s="11">
        <f>IF(ISBLANK(Calculate_Technical_Metadata___Column[[#This Row],[Data Zone (MDZ/GDZ)]])=TRUE, 0, 1)</f>
        <v>1</v>
      </c>
      <c r="S64" s="11">
        <f>IF(ISBLANK(Calculate_Technical_Metadata___Column[[#This Row],[PII/Non-PII]])=TRUE, 0, 1)</f>
        <v>1</v>
      </c>
      <c r="T64" s="11">
        <f>IF(ISBLANK(Calculate_Technical_Metadata___Column[[#This Row],[Type]])=TRUE, 0, 1)</f>
        <v>1</v>
      </c>
      <c r="U64" s="11">
        <f>IF(ISBLANK(Calculate_Technical_Metadata___Column[[#This Row],[Format]])=TRUE, 0, 1)</f>
        <v>1</v>
      </c>
      <c r="V64" s="11">
        <f>IF(ISBLANK(Calculate_Technical_Metadata___Column[[#This Row],[Nullable]])=TRUE, 0, 1)</f>
        <v>1</v>
      </c>
      <c r="W64" s="11">
        <f>IF(ISBLANK(Calculate_Technical_Metadata___Column[[#This Row],[Updated Date ]])=TRUE, 0, 1)</f>
        <v>1</v>
      </c>
      <c r="X64" s="11">
        <f>IF(ISBLANK(Calculate_Technical_Metadata___Column[[#This Row],[Updated By]])=TRUE, 0, 1)</f>
        <v>1</v>
      </c>
      <c r="Z64">
        <f>IF(COUNTIFS('Cal_Technical - Data Set'!A:A, Calculate_Technical_Metadata___Column[[#This Row],[Data Set Name]]) &gt; 0, 1,0)</f>
        <v>1</v>
      </c>
      <c r="AB64">
        <f>IF( COUNTIFS(C:C, Calculate_Technical_Metadata___Column[[#This Row],[Data Set Name]], D:D, Calculate_Technical_Metadata___Column[[#This Row],[Column Name]], A:A, Calculate_Technical_Metadata___Column[[#This Row],[System/Data Subject Area Name]], B:B, Calculate_Technical_Metadata___Column[[#This Row],[Schema/Database Name]]) &lt;&gt; 1, 0, 1)</f>
        <v>1</v>
      </c>
      <c r="AD64" s="11">
        <f>IF(ISERROR(FIND("  ",Calculate_Technical_Metadata___Column[[#This Row],[System/Data Subject Area Name]], 1))=TRUE, 1, 0)</f>
        <v>1</v>
      </c>
      <c r="AE64" s="11">
        <f>IF(ISERROR(FIND(" ",Calculate_Technical_Metadata___Column[[#This Row],[Schema/Database Name]], 1))=TRUE, 1, 0)</f>
        <v>1</v>
      </c>
      <c r="AF64" s="11">
        <f>IF(OR(ISERROR(FIND(" ",Calculate_Technical_Metadata___Column[[#This Row],[Data Set Name]], 1))=TRUE, ISERROR(FIND("__",Calculate_Technical_Metadata___Column[[#This Row],[Data Set Name]], 1))=TRUE)=TRUE, 1, 0)</f>
        <v>1</v>
      </c>
      <c r="AG64" s="11">
        <f>IF(ISERROR(FIND(" ",Calculate_Technical_Metadata___Column[[#This Row],[Column Name]], 1))=TRUE, 1, 0)</f>
        <v>1</v>
      </c>
      <c r="AH64" s="11">
        <f>IF(ISERROR(FIND("  ",Calculate_Technical_Metadata___Column[[#This Row],[Updated By]], 1))=TRUE, 1, 0)</f>
        <v>1</v>
      </c>
      <c r="AJ64">
        <f>IF(OR(Calculate_Technical_Metadata___Column[[#This Row],[Data Zone (MDZ/GDZ)]]="GDZ",Calculate_Technical_Metadata___Column[[#This Row],[Data Zone (MDZ/GDZ)]]= "MDZ",Calculate_Technical_Metadata___Column[[#This Row],[Data Zone (MDZ/GDZ)]]= "INVX Data Lake")=TRUE, 1, 0)</f>
        <v>1</v>
      </c>
      <c r="AK64" s="11">
        <f>IF(OR(Calculate_Technical_Metadata___Column[[#This Row],[PII/Non-PII]]="PII",Calculate_Technical_Metadata___Column[[#This Row],[PII/Non-PII]]= "Non-PII")=TRUE, 1, 0)</f>
        <v>1</v>
      </c>
      <c r="AL64" s="11" t="str">
        <f xml:space="preserve"> IF(ISERROR(FIND("(",Calculate_Technical_Metadata___Column[[#This Row],[Type]], 1)) = FALSE, _xlfn.TEXTBEFORE(Calculate_Technical_Metadata___Column[[#This Row],[Type]], "("),Calculate_Technical_Metadata___Column[[#This Row],[Type]])</f>
        <v>string</v>
      </c>
      <c r="AM64" s="11">
        <f>IF(COUNTIF(Type!A:A,Calculate_Technical_Metadata___Column[[#This Row],[Type]]) &gt; 0, 1, 0)</f>
        <v>1</v>
      </c>
      <c r="AN64" s="13">
        <f>IF(OR(Calculate_Technical_Metadata___Column[[#This Row],[Nullable]]="Yes",Calculate_Technical_Metadata___Column[[#This Row],[Nullable]]="No")=TRUE, 1, 0)</f>
        <v>1</v>
      </c>
    </row>
    <row r="65" spans="1:40" x14ac:dyDescent="0.3">
      <c r="A65" s="73" t="s">
        <v>505</v>
      </c>
      <c r="B65" s="73" t="s">
        <v>39</v>
      </c>
      <c r="C65" s="73" t="s">
        <v>470</v>
      </c>
      <c r="D65" s="73" t="s">
        <v>509</v>
      </c>
      <c r="E65" t="s">
        <v>42</v>
      </c>
      <c r="F65" s="73" t="s">
        <v>43</v>
      </c>
      <c r="G65" s="73" t="s">
        <v>76</v>
      </c>
      <c r="H65" s="73" t="s">
        <v>55</v>
      </c>
      <c r="I65" t="s">
        <v>47</v>
      </c>
      <c r="J65" s="73" t="s">
        <v>52</v>
      </c>
      <c r="K65" s="71">
        <v>45372</v>
      </c>
      <c r="L65" s="73" t="s">
        <v>49</v>
      </c>
      <c r="N65" s="11">
        <f>IF(ISBLANK(Calculate_Technical_Metadata___Column[[#This Row],[System/Data Subject Area Name]])=TRUE, 0, 1)</f>
        <v>1</v>
      </c>
      <c r="O65" s="11">
        <f>IF(ISBLANK(Calculate_Technical_Metadata___Column[[#This Row],[Schema/Database Name]])=TRUE, 0, 1)</f>
        <v>1</v>
      </c>
      <c r="P65" s="11">
        <f>IF(ISBLANK(Calculate_Technical_Metadata___Column[[#This Row],[Data Set Name]])=TRUE, 0, 1)</f>
        <v>1</v>
      </c>
      <c r="Q65" s="11">
        <f>IF(ISBLANK(Calculate_Technical_Metadata___Column[[#This Row],[Column Name]])=TRUE, 0, 1)</f>
        <v>1</v>
      </c>
      <c r="R65" s="11">
        <f>IF(ISBLANK(Calculate_Technical_Metadata___Column[[#This Row],[Data Zone (MDZ/GDZ)]])=TRUE, 0, 1)</f>
        <v>1</v>
      </c>
      <c r="S65" s="11">
        <f>IF(ISBLANK(Calculate_Technical_Metadata___Column[[#This Row],[PII/Non-PII]])=TRUE, 0, 1)</f>
        <v>1</v>
      </c>
      <c r="T65" s="11">
        <f>IF(ISBLANK(Calculate_Technical_Metadata___Column[[#This Row],[Type]])=TRUE, 0, 1)</f>
        <v>1</v>
      </c>
      <c r="U65" s="11">
        <f>IF(ISBLANK(Calculate_Technical_Metadata___Column[[#This Row],[Format]])=TRUE, 0, 1)</f>
        <v>1</v>
      </c>
      <c r="V65" s="11">
        <f>IF(ISBLANK(Calculate_Technical_Metadata___Column[[#This Row],[Nullable]])=TRUE, 0, 1)</f>
        <v>1</v>
      </c>
      <c r="W65" s="11">
        <f>IF(ISBLANK(Calculate_Technical_Metadata___Column[[#This Row],[Updated Date ]])=TRUE, 0, 1)</f>
        <v>1</v>
      </c>
      <c r="X65" s="11">
        <f>IF(ISBLANK(Calculate_Technical_Metadata___Column[[#This Row],[Updated By]])=TRUE, 0, 1)</f>
        <v>1</v>
      </c>
      <c r="Z65">
        <f>IF(COUNTIFS('Cal_Technical - Data Set'!A:A, Calculate_Technical_Metadata___Column[[#This Row],[Data Set Name]]) &gt; 0, 1,0)</f>
        <v>1</v>
      </c>
      <c r="AB65">
        <f>IF( COUNTIFS(C:C, Calculate_Technical_Metadata___Column[[#This Row],[Data Set Name]], D:D, Calculate_Technical_Metadata___Column[[#This Row],[Column Name]], A:A, Calculate_Technical_Metadata___Column[[#This Row],[System/Data Subject Area Name]], B:B, Calculate_Technical_Metadata___Column[[#This Row],[Schema/Database Name]]) &lt;&gt; 1, 0, 1)</f>
        <v>1</v>
      </c>
      <c r="AD65" s="11">
        <f>IF(ISERROR(FIND("  ",Calculate_Technical_Metadata___Column[[#This Row],[System/Data Subject Area Name]], 1))=TRUE, 1, 0)</f>
        <v>1</v>
      </c>
      <c r="AE65" s="11">
        <f>IF(ISERROR(FIND(" ",Calculate_Technical_Metadata___Column[[#This Row],[Schema/Database Name]], 1))=TRUE, 1, 0)</f>
        <v>1</v>
      </c>
      <c r="AF65" s="11">
        <f>IF(OR(ISERROR(FIND(" ",Calculate_Technical_Metadata___Column[[#This Row],[Data Set Name]], 1))=TRUE, ISERROR(FIND("__",Calculate_Technical_Metadata___Column[[#This Row],[Data Set Name]], 1))=TRUE)=TRUE, 1, 0)</f>
        <v>1</v>
      </c>
      <c r="AG65" s="11">
        <f>IF(ISERROR(FIND(" ",Calculate_Technical_Metadata___Column[[#This Row],[Column Name]], 1))=TRUE, 1, 0)</f>
        <v>1</v>
      </c>
      <c r="AH65" s="11">
        <f>IF(ISERROR(FIND("  ",Calculate_Technical_Metadata___Column[[#This Row],[Updated By]], 1))=TRUE, 1, 0)</f>
        <v>1</v>
      </c>
      <c r="AJ65">
        <f>IF(OR(Calculate_Technical_Metadata___Column[[#This Row],[Data Zone (MDZ/GDZ)]]="GDZ",Calculate_Technical_Metadata___Column[[#This Row],[Data Zone (MDZ/GDZ)]]= "MDZ",Calculate_Technical_Metadata___Column[[#This Row],[Data Zone (MDZ/GDZ)]]= "INVX Data Lake")=TRUE, 1, 0)</f>
        <v>1</v>
      </c>
      <c r="AK65" s="11">
        <f>IF(OR(Calculate_Technical_Metadata___Column[[#This Row],[PII/Non-PII]]="PII",Calculate_Technical_Metadata___Column[[#This Row],[PII/Non-PII]]= "Non-PII")=TRUE, 1, 0)</f>
        <v>1</v>
      </c>
      <c r="AL65" s="11" t="str">
        <f xml:space="preserve"> IF(ISERROR(FIND("(",Calculate_Technical_Metadata___Column[[#This Row],[Type]], 1)) = FALSE, _xlfn.TEXTBEFORE(Calculate_Technical_Metadata___Column[[#This Row],[Type]], "("),Calculate_Technical_Metadata___Column[[#This Row],[Type]])</f>
        <v>integer</v>
      </c>
      <c r="AM65" s="11">
        <f>IF(COUNTIF(Type!A:A,Calculate_Technical_Metadata___Column[[#This Row],[Type]]) &gt; 0, 1, 0)</f>
        <v>1</v>
      </c>
      <c r="AN65" s="13">
        <f>IF(OR(Calculate_Technical_Metadata___Column[[#This Row],[Nullable]]="Yes",Calculate_Technical_Metadata___Column[[#This Row],[Nullable]]="No")=TRUE, 1, 0)</f>
        <v>1</v>
      </c>
    </row>
    <row r="66" spans="1:40" x14ac:dyDescent="0.3">
      <c r="A66" s="73" t="s">
        <v>505</v>
      </c>
      <c r="B66" s="73" t="s">
        <v>39</v>
      </c>
      <c r="C66" s="73" t="s">
        <v>470</v>
      </c>
      <c r="D66" s="73" t="s">
        <v>510</v>
      </c>
      <c r="E66" t="s">
        <v>42</v>
      </c>
      <c r="F66" s="73" t="s">
        <v>43</v>
      </c>
      <c r="G66" s="73" t="s">
        <v>45</v>
      </c>
      <c r="H66" s="73" t="s">
        <v>472</v>
      </c>
      <c r="I66" t="s">
        <v>47</v>
      </c>
      <c r="J66" s="73" t="s">
        <v>52</v>
      </c>
      <c r="K66" s="71">
        <v>45372</v>
      </c>
      <c r="L66" s="73" t="s">
        <v>49</v>
      </c>
      <c r="N66" s="11">
        <f>IF(ISBLANK(Calculate_Technical_Metadata___Column[[#This Row],[System/Data Subject Area Name]])=TRUE, 0, 1)</f>
        <v>1</v>
      </c>
      <c r="O66" s="11">
        <f>IF(ISBLANK(Calculate_Technical_Metadata___Column[[#This Row],[Schema/Database Name]])=TRUE, 0, 1)</f>
        <v>1</v>
      </c>
      <c r="P66" s="11">
        <f>IF(ISBLANK(Calculate_Technical_Metadata___Column[[#This Row],[Data Set Name]])=TRUE, 0, 1)</f>
        <v>1</v>
      </c>
      <c r="Q66" s="11">
        <f>IF(ISBLANK(Calculate_Technical_Metadata___Column[[#This Row],[Column Name]])=TRUE, 0, 1)</f>
        <v>1</v>
      </c>
      <c r="R66" s="11">
        <f>IF(ISBLANK(Calculate_Technical_Metadata___Column[[#This Row],[Data Zone (MDZ/GDZ)]])=TRUE, 0, 1)</f>
        <v>1</v>
      </c>
      <c r="S66" s="11">
        <f>IF(ISBLANK(Calculate_Technical_Metadata___Column[[#This Row],[PII/Non-PII]])=TRUE, 0, 1)</f>
        <v>1</v>
      </c>
      <c r="T66" s="11">
        <f>IF(ISBLANK(Calculate_Technical_Metadata___Column[[#This Row],[Type]])=TRUE, 0, 1)</f>
        <v>1</v>
      </c>
      <c r="U66" s="11">
        <f>IF(ISBLANK(Calculate_Technical_Metadata___Column[[#This Row],[Format]])=TRUE, 0, 1)</f>
        <v>1</v>
      </c>
      <c r="V66" s="11">
        <f>IF(ISBLANK(Calculate_Technical_Metadata___Column[[#This Row],[Nullable]])=TRUE, 0, 1)</f>
        <v>1</v>
      </c>
      <c r="W66" s="11">
        <f>IF(ISBLANK(Calculate_Technical_Metadata___Column[[#This Row],[Updated Date ]])=TRUE, 0, 1)</f>
        <v>1</v>
      </c>
      <c r="X66" s="11">
        <f>IF(ISBLANK(Calculate_Technical_Metadata___Column[[#This Row],[Updated By]])=TRUE, 0, 1)</f>
        <v>1</v>
      </c>
      <c r="Z66">
        <f>IF(COUNTIFS('Cal_Technical - Data Set'!A:A, Calculate_Technical_Metadata___Column[[#This Row],[Data Set Name]]) &gt; 0, 1,0)</f>
        <v>1</v>
      </c>
      <c r="AB66">
        <f>IF( COUNTIFS(C:C, Calculate_Technical_Metadata___Column[[#This Row],[Data Set Name]], D:D, Calculate_Technical_Metadata___Column[[#This Row],[Column Name]], A:A, Calculate_Technical_Metadata___Column[[#This Row],[System/Data Subject Area Name]], B:B, Calculate_Technical_Metadata___Column[[#This Row],[Schema/Database Name]]) &lt;&gt; 1, 0, 1)</f>
        <v>1</v>
      </c>
      <c r="AD66" s="11">
        <f>IF(ISERROR(FIND("  ",Calculate_Technical_Metadata___Column[[#This Row],[System/Data Subject Area Name]], 1))=TRUE, 1, 0)</f>
        <v>1</v>
      </c>
      <c r="AE66" s="11">
        <f>IF(ISERROR(FIND(" ",Calculate_Technical_Metadata___Column[[#This Row],[Schema/Database Name]], 1))=TRUE, 1, 0)</f>
        <v>1</v>
      </c>
      <c r="AF66" s="11">
        <f>IF(OR(ISERROR(FIND(" ",Calculate_Technical_Metadata___Column[[#This Row],[Data Set Name]], 1))=TRUE, ISERROR(FIND("__",Calculate_Technical_Metadata___Column[[#This Row],[Data Set Name]], 1))=TRUE)=TRUE, 1, 0)</f>
        <v>1</v>
      </c>
      <c r="AG66" s="11">
        <f>IF(ISERROR(FIND(" ",Calculate_Technical_Metadata___Column[[#This Row],[Column Name]], 1))=TRUE, 1, 0)</f>
        <v>1</v>
      </c>
      <c r="AH66" s="11">
        <f>IF(ISERROR(FIND("  ",Calculate_Technical_Metadata___Column[[#This Row],[Updated By]], 1))=TRUE, 1, 0)</f>
        <v>1</v>
      </c>
      <c r="AJ66">
        <f>IF(OR(Calculate_Technical_Metadata___Column[[#This Row],[Data Zone (MDZ/GDZ)]]="GDZ",Calculate_Technical_Metadata___Column[[#This Row],[Data Zone (MDZ/GDZ)]]= "MDZ",Calculate_Technical_Metadata___Column[[#This Row],[Data Zone (MDZ/GDZ)]]= "INVX Data Lake")=TRUE, 1, 0)</f>
        <v>1</v>
      </c>
      <c r="AK66" s="11">
        <f>IF(OR(Calculate_Technical_Metadata___Column[[#This Row],[PII/Non-PII]]="PII",Calculate_Technical_Metadata___Column[[#This Row],[PII/Non-PII]]= "Non-PII")=TRUE, 1, 0)</f>
        <v>1</v>
      </c>
      <c r="AL66" s="11" t="str">
        <f xml:space="preserve"> IF(ISERROR(FIND("(",Calculate_Technical_Metadata___Column[[#This Row],[Type]], 1)) = FALSE, _xlfn.TEXTBEFORE(Calculate_Technical_Metadata___Column[[#This Row],[Type]], "("),Calculate_Technical_Metadata___Column[[#This Row],[Type]])</f>
        <v>string</v>
      </c>
      <c r="AM66" s="11">
        <f>IF(COUNTIF(Type!A:A,Calculate_Technical_Metadata___Column[[#This Row],[Type]]) &gt; 0, 1, 0)</f>
        <v>1</v>
      </c>
      <c r="AN66" s="13">
        <f>IF(OR(Calculate_Technical_Metadata___Column[[#This Row],[Nullable]]="Yes",Calculate_Technical_Metadata___Column[[#This Row],[Nullable]]="No")=TRUE, 1, 0)</f>
        <v>1</v>
      </c>
    </row>
    <row r="67" spans="1:40" x14ac:dyDescent="0.3">
      <c r="A67" s="73" t="s">
        <v>469</v>
      </c>
      <c r="B67" s="73" t="s">
        <v>39</v>
      </c>
      <c r="C67" s="73" t="s">
        <v>470</v>
      </c>
      <c r="D67" s="73" t="s">
        <v>511</v>
      </c>
      <c r="E67" t="s">
        <v>42</v>
      </c>
      <c r="F67" s="73" t="s">
        <v>43</v>
      </c>
      <c r="G67" s="73" t="s">
        <v>76</v>
      </c>
      <c r="H67" s="73" t="s">
        <v>55</v>
      </c>
      <c r="I67" t="s">
        <v>47</v>
      </c>
      <c r="J67" s="73" t="s">
        <v>48</v>
      </c>
      <c r="K67" s="71">
        <v>45372</v>
      </c>
      <c r="L67" s="73" t="s">
        <v>49</v>
      </c>
      <c r="N67" s="11">
        <f>IF(ISBLANK(Calculate_Technical_Metadata___Column[[#This Row],[System/Data Subject Area Name]])=TRUE, 0, 1)</f>
        <v>1</v>
      </c>
      <c r="O67" s="11">
        <f>IF(ISBLANK(Calculate_Technical_Metadata___Column[[#This Row],[Schema/Database Name]])=TRUE, 0, 1)</f>
        <v>1</v>
      </c>
      <c r="P67" s="11">
        <f>IF(ISBLANK(Calculate_Technical_Metadata___Column[[#This Row],[Data Set Name]])=TRUE, 0, 1)</f>
        <v>1</v>
      </c>
      <c r="Q67" s="11">
        <f>IF(ISBLANK(Calculate_Technical_Metadata___Column[[#This Row],[Column Name]])=TRUE, 0, 1)</f>
        <v>1</v>
      </c>
      <c r="R67" s="11">
        <f>IF(ISBLANK(Calculate_Technical_Metadata___Column[[#This Row],[Data Zone (MDZ/GDZ)]])=TRUE, 0, 1)</f>
        <v>1</v>
      </c>
      <c r="S67" s="11">
        <f>IF(ISBLANK(Calculate_Technical_Metadata___Column[[#This Row],[PII/Non-PII]])=TRUE, 0, 1)</f>
        <v>1</v>
      </c>
      <c r="T67" s="11">
        <f>IF(ISBLANK(Calculate_Technical_Metadata___Column[[#This Row],[Type]])=TRUE, 0, 1)</f>
        <v>1</v>
      </c>
      <c r="U67" s="11">
        <f>IF(ISBLANK(Calculate_Technical_Metadata___Column[[#This Row],[Format]])=TRUE, 0, 1)</f>
        <v>1</v>
      </c>
      <c r="V67" s="11">
        <f>IF(ISBLANK(Calculate_Technical_Metadata___Column[[#This Row],[Nullable]])=TRUE, 0, 1)</f>
        <v>1</v>
      </c>
      <c r="W67" s="11">
        <f>IF(ISBLANK(Calculate_Technical_Metadata___Column[[#This Row],[Updated Date ]])=TRUE, 0, 1)</f>
        <v>1</v>
      </c>
      <c r="X67" s="11">
        <f>IF(ISBLANK(Calculate_Technical_Metadata___Column[[#This Row],[Updated By]])=TRUE, 0, 1)</f>
        <v>1</v>
      </c>
      <c r="Z67">
        <f>IF(COUNTIFS('Cal_Technical - Data Set'!A:A, Calculate_Technical_Metadata___Column[[#This Row],[Data Set Name]]) &gt; 0, 1,0)</f>
        <v>1</v>
      </c>
      <c r="AB67">
        <f>IF( COUNTIFS(C:C, Calculate_Technical_Metadata___Column[[#This Row],[Data Set Name]], D:D, Calculate_Technical_Metadata___Column[[#This Row],[Column Name]], A:A, Calculate_Technical_Metadata___Column[[#This Row],[System/Data Subject Area Name]], B:B, Calculate_Technical_Metadata___Column[[#This Row],[Schema/Database Name]]) &lt;&gt; 1, 0, 1)</f>
        <v>1</v>
      </c>
      <c r="AD67" s="11">
        <f>IF(ISERROR(FIND("  ",Calculate_Technical_Metadata___Column[[#This Row],[System/Data Subject Area Name]], 1))=TRUE, 1, 0)</f>
        <v>1</v>
      </c>
      <c r="AE67" s="11">
        <f>IF(ISERROR(FIND(" ",Calculate_Technical_Metadata___Column[[#This Row],[Schema/Database Name]], 1))=TRUE, 1, 0)</f>
        <v>1</v>
      </c>
      <c r="AF67" s="11">
        <f>IF(OR(ISERROR(FIND(" ",Calculate_Technical_Metadata___Column[[#This Row],[Data Set Name]], 1))=TRUE, ISERROR(FIND("__",Calculate_Technical_Metadata___Column[[#This Row],[Data Set Name]], 1))=TRUE)=TRUE, 1, 0)</f>
        <v>1</v>
      </c>
      <c r="AG67" s="11">
        <f>IF(ISERROR(FIND(" ",Calculate_Technical_Metadata___Column[[#This Row],[Column Name]], 1))=TRUE, 1, 0)</f>
        <v>1</v>
      </c>
      <c r="AH67" s="11">
        <f>IF(ISERROR(FIND("  ",Calculate_Technical_Metadata___Column[[#This Row],[Updated By]], 1))=TRUE, 1, 0)</f>
        <v>1</v>
      </c>
      <c r="AJ67">
        <f>IF(OR(Calculate_Technical_Metadata___Column[[#This Row],[Data Zone (MDZ/GDZ)]]="GDZ",Calculate_Technical_Metadata___Column[[#This Row],[Data Zone (MDZ/GDZ)]]= "MDZ",Calculate_Technical_Metadata___Column[[#This Row],[Data Zone (MDZ/GDZ)]]= "INVX Data Lake")=TRUE, 1, 0)</f>
        <v>1</v>
      </c>
      <c r="AK67" s="11">
        <f>IF(OR(Calculate_Technical_Metadata___Column[[#This Row],[PII/Non-PII]]="PII",Calculate_Technical_Metadata___Column[[#This Row],[PII/Non-PII]]= "Non-PII")=TRUE, 1, 0)</f>
        <v>1</v>
      </c>
      <c r="AL67" s="11" t="str">
        <f xml:space="preserve"> IF(ISERROR(FIND("(",Calculate_Technical_Metadata___Column[[#This Row],[Type]], 1)) = FALSE, _xlfn.TEXTBEFORE(Calculate_Technical_Metadata___Column[[#This Row],[Type]], "("),Calculate_Technical_Metadata___Column[[#This Row],[Type]])</f>
        <v>integer</v>
      </c>
      <c r="AM67" s="11">
        <f>IF(COUNTIF(Type!A:A,Calculate_Technical_Metadata___Column[[#This Row],[Type]]) &gt; 0, 1, 0)</f>
        <v>1</v>
      </c>
      <c r="AN67" s="13">
        <f>IF(OR(Calculate_Technical_Metadata___Column[[#This Row],[Nullable]]="Yes",Calculate_Technical_Metadata___Column[[#This Row],[Nullable]]="No")=TRUE, 1, 0)</f>
        <v>1</v>
      </c>
    </row>
    <row r="68" spans="1:40" x14ac:dyDescent="0.3">
      <c r="A68" s="73" t="s">
        <v>469</v>
      </c>
      <c r="B68" s="73" t="s">
        <v>39</v>
      </c>
      <c r="C68" s="73" t="s">
        <v>470</v>
      </c>
      <c r="D68" s="73" t="s">
        <v>512</v>
      </c>
      <c r="E68" t="s">
        <v>42</v>
      </c>
      <c r="F68" s="73" t="s">
        <v>43</v>
      </c>
      <c r="G68" s="73" t="s">
        <v>76</v>
      </c>
      <c r="H68" s="73" t="s">
        <v>55</v>
      </c>
      <c r="I68" t="s">
        <v>47</v>
      </c>
      <c r="J68" s="73" t="s">
        <v>48</v>
      </c>
      <c r="K68" s="71">
        <v>45372</v>
      </c>
      <c r="L68" s="73" t="s">
        <v>49</v>
      </c>
      <c r="N68" s="11">
        <f>IF(ISBLANK(Calculate_Technical_Metadata___Column[[#This Row],[System/Data Subject Area Name]])=TRUE, 0, 1)</f>
        <v>1</v>
      </c>
      <c r="O68" s="11">
        <f>IF(ISBLANK(Calculate_Technical_Metadata___Column[[#This Row],[Schema/Database Name]])=TRUE, 0, 1)</f>
        <v>1</v>
      </c>
      <c r="P68" s="11">
        <f>IF(ISBLANK(Calculate_Technical_Metadata___Column[[#This Row],[Data Set Name]])=TRUE, 0, 1)</f>
        <v>1</v>
      </c>
      <c r="Q68" s="11">
        <f>IF(ISBLANK(Calculate_Technical_Metadata___Column[[#This Row],[Column Name]])=TRUE, 0, 1)</f>
        <v>1</v>
      </c>
      <c r="R68" s="11">
        <f>IF(ISBLANK(Calculate_Technical_Metadata___Column[[#This Row],[Data Zone (MDZ/GDZ)]])=TRUE, 0, 1)</f>
        <v>1</v>
      </c>
      <c r="S68" s="11">
        <f>IF(ISBLANK(Calculate_Technical_Metadata___Column[[#This Row],[PII/Non-PII]])=TRUE, 0, 1)</f>
        <v>1</v>
      </c>
      <c r="T68" s="11">
        <f>IF(ISBLANK(Calculate_Technical_Metadata___Column[[#This Row],[Type]])=TRUE, 0, 1)</f>
        <v>1</v>
      </c>
      <c r="U68" s="11">
        <f>IF(ISBLANK(Calculate_Technical_Metadata___Column[[#This Row],[Format]])=TRUE, 0, 1)</f>
        <v>1</v>
      </c>
      <c r="V68" s="11">
        <f>IF(ISBLANK(Calculate_Technical_Metadata___Column[[#This Row],[Nullable]])=TRUE, 0, 1)</f>
        <v>1</v>
      </c>
      <c r="W68" s="11">
        <f>IF(ISBLANK(Calculate_Technical_Metadata___Column[[#This Row],[Updated Date ]])=TRUE, 0, 1)</f>
        <v>1</v>
      </c>
      <c r="X68" s="11">
        <f>IF(ISBLANK(Calculate_Technical_Metadata___Column[[#This Row],[Updated By]])=TRUE, 0, 1)</f>
        <v>1</v>
      </c>
      <c r="Z68">
        <f>IF(COUNTIFS('Cal_Technical - Data Set'!A:A, Calculate_Technical_Metadata___Column[[#This Row],[Data Set Name]]) &gt; 0, 1,0)</f>
        <v>1</v>
      </c>
      <c r="AB68">
        <f>IF( COUNTIFS(C:C, Calculate_Technical_Metadata___Column[[#This Row],[Data Set Name]], D:D, Calculate_Technical_Metadata___Column[[#This Row],[Column Name]], A:A, Calculate_Technical_Metadata___Column[[#This Row],[System/Data Subject Area Name]], B:B, Calculate_Technical_Metadata___Column[[#This Row],[Schema/Database Name]]) &lt;&gt; 1, 0, 1)</f>
        <v>1</v>
      </c>
      <c r="AD68" s="11">
        <f>IF(ISERROR(FIND("  ",Calculate_Technical_Metadata___Column[[#This Row],[System/Data Subject Area Name]], 1))=TRUE, 1, 0)</f>
        <v>1</v>
      </c>
      <c r="AE68" s="11">
        <f>IF(ISERROR(FIND(" ",Calculate_Technical_Metadata___Column[[#This Row],[Schema/Database Name]], 1))=TRUE, 1, 0)</f>
        <v>1</v>
      </c>
      <c r="AF68" s="11">
        <f>IF(OR(ISERROR(FIND(" ",Calculate_Technical_Metadata___Column[[#This Row],[Data Set Name]], 1))=TRUE, ISERROR(FIND("__",Calculate_Technical_Metadata___Column[[#This Row],[Data Set Name]], 1))=TRUE)=TRUE, 1, 0)</f>
        <v>1</v>
      </c>
      <c r="AG68" s="11">
        <f>IF(ISERROR(FIND(" ",Calculate_Technical_Metadata___Column[[#This Row],[Column Name]], 1))=TRUE, 1, 0)</f>
        <v>1</v>
      </c>
      <c r="AH68" s="11">
        <f>IF(ISERROR(FIND("  ",Calculate_Technical_Metadata___Column[[#This Row],[Updated By]], 1))=TRUE, 1, 0)</f>
        <v>1</v>
      </c>
      <c r="AJ68">
        <f>IF(OR(Calculate_Technical_Metadata___Column[[#This Row],[Data Zone (MDZ/GDZ)]]="GDZ",Calculate_Technical_Metadata___Column[[#This Row],[Data Zone (MDZ/GDZ)]]= "MDZ",Calculate_Technical_Metadata___Column[[#This Row],[Data Zone (MDZ/GDZ)]]= "INVX Data Lake")=TRUE, 1, 0)</f>
        <v>1</v>
      </c>
      <c r="AK68" s="11">
        <f>IF(OR(Calculate_Technical_Metadata___Column[[#This Row],[PII/Non-PII]]="PII",Calculate_Technical_Metadata___Column[[#This Row],[PII/Non-PII]]= "Non-PII")=TRUE, 1, 0)</f>
        <v>1</v>
      </c>
      <c r="AL68" s="11" t="str">
        <f xml:space="preserve"> IF(ISERROR(FIND("(",Calculate_Technical_Metadata___Column[[#This Row],[Type]], 1)) = FALSE, _xlfn.TEXTBEFORE(Calculate_Technical_Metadata___Column[[#This Row],[Type]], "("),Calculate_Technical_Metadata___Column[[#This Row],[Type]])</f>
        <v>integer</v>
      </c>
      <c r="AM68" s="11">
        <f>IF(COUNTIF(Type!A:A,Calculate_Technical_Metadata___Column[[#This Row],[Type]]) &gt; 0, 1, 0)</f>
        <v>1</v>
      </c>
      <c r="AN68" s="13">
        <f>IF(OR(Calculate_Technical_Metadata___Column[[#This Row],[Nullable]]="Yes",Calculate_Technical_Metadata___Column[[#This Row],[Nullable]]="No")=TRUE, 1, 0)</f>
        <v>1</v>
      </c>
    </row>
    <row r="69" spans="1:40" x14ac:dyDescent="0.3">
      <c r="A69" s="73" t="s">
        <v>38</v>
      </c>
      <c r="B69" s="73" t="s">
        <v>39</v>
      </c>
      <c r="C69" s="73" t="s">
        <v>619</v>
      </c>
      <c r="D69" s="73" t="s">
        <v>620</v>
      </c>
      <c r="E69" t="s">
        <v>42</v>
      </c>
      <c r="F69" s="73" t="s">
        <v>43</v>
      </c>
      <c r="G69" s="73" t="s">
        <v>45</v>
      </c>
      <c r="H69" s="73" t="s">
        <v>59</v>
      </c>
      <c r="I69" t="s">
        <v>47</v>
      </c>
      <c r="J69" s="73" t="s">
        <v>48</v>
      </c>
      <c r="K69" s="71">
        <v>45454</v>
      </c>
      <c r="L69" s="73" t="s">
        <v>57</v>
      </c>
      <c r="N69" s="11">
        <f>IF(ISBLANK(Calculate_Technical_Metadata___Column[[#This Row],[System/Data Subject Area Name]])=TRUE, 0, 1)</f>
        <v>1</v>
      </c>
      <c r="O69" s="11">
        <f>IF(ISBLANK(Calculate_Technical_Metadata___Column[[#This Row],[Schema/Database Name]])=TRUE, 0, 1)</f>
        <v>1</v>
      </c>
      <c r="P69" s="11">
        <f>IF(ISBLANK(Calculate_Technical_Metadata___Column[[#This Row],[Data Set Name]])=TRUE, 0, 1)</f>
        <v>1</v>
      </c>
      <c r="Q69" s="11">
        <f>IF(ISBLANK(Calculate_Technical_Metadata___Column[[#This Row],[Column Name]])=TRUE, 0, 1)</f>
        <v>1</v>
      </c>
      <c r="R69" s="11">
        <f>IF(ISBLANK(Calculate_Technical_Metadata___Column[[#This Row],[Data Zone (MDZ/GDZ)]])=TRUE, 0, 1)</f>
        <v>1</v>
      </c>
      <c r="S69" s="11">
        <f>IF(ISBLANK(Calculate_Technical_Metadata___Column[[#This Row],[PII/Non-PII]])=TRUE, 0, 1)</f>
        <v>1</v>
      </c>
      <c r="T69" s="11">
        <f>IF(ISBLANK(Calculate_Technical_Metadata___Column[[#This Row],[Type]])=TRUE, 0, 1)</f>
        <v>1</v>
      </c>
      <c r="U69" s="11">
        <f>IF(ISBLANK(Calculate_Technical_Metadata___Column[[#This Row],[Format]])=TRUE, 0, 1)</f>
        <v>1</v>
      </c>
      <c r="V69" s="11">
        <f>IF(ISBLANK(Calculate_Technical_Metadata___Column[[#This Row],[Nullable]])=TRUE, 0, 1)</f>
        <v>1</v>
      </c>
      <c r="W69" s="11">
        <f>IF(ISBLANK(Calculate_Technical_Metadata___Column[[#This Row],[Updated Date ]])=TRUE, 0, 1)</f>
        <v>1</v>
      </c>
      <c r="X69" s="11">
        <f>IF(ISBLANK(Calculate_Technical_Metadata___Column[[#This Row],[Updated By]])=TRUE, 0, 1)</f>
        <v>1</v>
      </c>
      <c r="Z69">
        <f>IF(COUNTIFS('Cal_Technical - Data Set'!A:A, Calculate_Technical_Metadata___Column[[#This Row],[Data Set Name]]) &gt; 0, 1,0)</f>
        <v>1</v>
      </c>
      <c r="AB69">
        <f>IF( COUNTIFS(C:C, Calculate_Technical_Metadata___Column[[#This Row],[Data Set Name]], D:D, Calculate_Technical_Metadata___Column[[#This Row],[Column Name]], A:A, Calculate_Technical_Metadata___Column[[#This Row],[System/Data Subject Area Name]], B:B, Calculate_Technical_Metadata___Column[[#This Row],[Schema/Database Name]]) &lt;&gt; 1, 0, 1)</f>
        <v>1</v>
      </c>
      <c r="AD69" s="11">
        <f>IF(ISERROR(FIND("  ",Calculate_Technical_Metadata___Column[[#This Row],[System/Data Subject Area Name]], 1))=TRUE, 1, 0)</f>
        <v>1</v>
      </c>
      <c r="AE69" s="11">
        <f>IF(ISERROR(FIND(" ",Calculate_Technical_Metadata___Column[[#This Row],[Schema/Database Name]], 1))=TRUE, 1, 0)</f>
        <v>1</v>
      </c>
      <c r="AF69" s="11">
        <f>IF(OR(ISERROR(FIND(" ",Calculate_Technical_Metadata___Column[[#This Row],[Data Set Name]], 1))=TRUE, ISERROR(FIND("__",Calculate_Technical_Metadata___Column[[#This Row],[Data Set Name]], 1))=TRUE)=TRUE, 1, 0)</f>
        <v>1</v>
      </c>
      <c r="AG69" s="11">
        <f>IF(ISERROR(FIND(" ",Calculate_Technical_Metadata___Column[[#This Row],[Column Name]], 1))=TRUE, 1, 0)</f>
        <v>1</v>
      </c>
      <c r="AH69" s="11">
        <f>IF(ISERROR(FIND("  ",Calculate_Technical_Metadata___Column[[#This Row],[Updated By]], 1))=TRUE, 1, 0)</f>
        <v>1</v>
      </c>
      <c r="AJ69">
        <f>IF(OR(Calculate_Technical_Metadata___Column[[#This Row],[Data Zone (MDZ/GDZ)]]="GDZ",Calculate_Technical_Metadata___Column[[#This Row],[Data Zone (MDZ/GDZ)]]= "MDZ",Calculate_Technical_Metadata___Column[[#This Row],[Data Zone (MDZ/GDZ)]]= "INVX Data Lake")=TRUE, 1, 0)</f>
        <v>1</v>
      </c>
      <c r="AK69" s="11">
        <f>IF(OR(Calculate_Technical_Metadata___Column[[#This Row],[PII/Non-PII]]="PII",Calculate_Technical_Metadata___Column[[#This Row],[PII/Non-PII]]= "Non-PII")=TRUE, 1, 0)</f>
        <v>1</v>
      </c>
      <c r="AL69" s="11" t="str">
        <f xml:space="preserve"> IF(ISERROR(FIND("(",Calculate_Technical_Metadata___Column[[#This Row],[Type]], 1)) = FALSE, _xlfn.TEXTBEFORE(Calculate_Technical_Metadata___Column[[#This Row],[Type]], "("),Calculate_Technical_Metadata___Column[[#This Row],[Type]])</f>
        <v>string</v>
      </c>
      <c r="AM69" s="11">
        <f>IF(COUNTIF(Type!A:A,Calculate_Technical_Metadata___Column[[#This Row],[Type]]) &gt; 0, 1, 0)</f>
        <v>1</v>
      </c>
      <c r="AN69" s="13">
        <f>IF(OR(Calculate_Technical_Metadata___Column[[#This Row],[Nullable]]="Yes",Calculate_Technical_Metadata___Column[[#This Row],[Nullable]]="No")=TRUE, 1, 0)</f>
        <v>1</v>
      </c>
    </row>
    <row r="70" spans="1:40" x14ac:dyDescent="0.3">
      <c r="A70" s="73" t="s">
        <v>38</v>
      </c>
      <c r="B70" s="73" t="s">
        <v>39</v>
      </c>
      <c r="C70" s="73" t="s">
        <v>619</v>
      </c>
      <c r="D70" s="73" t="s">
        <v>473</v>
      </c>
      <c r="E70" t="s">
        <v>42</v>
      </c>
      <c r="F70" s="73" t="s">
        <v>43</v>
      </c>
      <c r="G70" s="73" t="s">
        <v>45</v>
      </c>
      <c r="H70" s="73" t="s">
        <v>55</v>
      </c>
      <c r="I70" t="s">
        <v>47</v>
      </c>
      <c r="J70" s="73" t="s">
        <v>48</v>
      </c>
      <c r="K70" s="71">
        <v>45454</v>
      </c>
      <c r="L70" s="73" t="s">
        <v>57</v>
      </c>
      <c r="N70" s="11">
        <f>IF(ISBLANK(Calculate_Technical_Metadata___Column[[#This Row],[System/Data Subject Area Name]])=TRUE, 0, 1)</f>
        <v>1</v>
      </c>
      <c r="O70" s="11">
        <f>IF(ISBLANK(Calculate_Technical_Metadata___Column[[#This Row],[Schema/Database Name]])=TRUE, 0, 1)</f>
        <v>1</v>
      </c>
      <c r="P70" s="11">
        <f>IF(ISBLANK(Calculate_Technical_Metadata___Column[[#This Row],[Data Set Name]])=TRUE, 0, 1)</f>
        <v>1</v>
      </c>
      <c r="Q70" s="11">
        <f>IF(ISBLANK(Calculate_Technical_Metadata___Column[[#This Row],[Column Name]])=TRUE, 0, 1)</f>
        <v>1</v>
      </c>
      <c r="R70" s="11">
        <f>IF(ISBLANK(Calculate_Technical_Metadata___Column[[#This Row],[Data Zone (MDZ/GDZ)]])=TRUE, 0, 1)</f>
        <v>1</v>
      </c>
      <c r="S70" s="11">
        <f>IF(ISBLANK(Calculate_Technical_Metadata___Column[[#This Row],[PII/Non-PII]])=TRUE, 0, 1)</f>
        <v>1</v>
      </c>
      <c r="T70" s="11">
        <f>IF(ISBLANK(Calculate_Technical_Metadata___Column[[#This Row],[Type]])=TRUE, 0, 1)</f>
        <v>1</v>
      </c>
      <c r="U70" s="11">
        <f>IF(ISBLANK(Calculate_Technical_Metadata___Column[[#This Row],[Format]])=TRUE, 0, 1)</f>
        <v>1</v>
      </c>
      <c r="V70" s="11">
        <f>IF(ISBLANK(Calculate_Technical_Metadata___Column[[#This Row],[Nullable]])=TRUE, 0, 1)</f>
        <v>1</v>
      </c>
      <c r="W70" s="11">
        <f>IF(ISBLANK(Calculate_Technical_Metadata___Column[[#This Row],[Updated Date ]])=TRUE, 0, 1)</f>
        <v>1</v>
      </c>
      <c r="X70" s="11">
        <f>IF(ISBLANK(Calculate_Technical_Metadata___Column[[#This Row],[Updated By]])=TRUE, 0, 1)</f>
        <v>1</v>
      </c>
      <c r="Z70">
        <f>IF(COUNTIFS('Cal_Technical - Data Set'!A:A, Calculate_Technical_Metadata___Column[[#This Row],[Data Set Name]]) &gt; 0, 1,0)</f>
        <v>1</v>
      </c>
      <c r="AB70">
        <f>IF( COUNTIFS(C:C, Calculate_Technical_Metadata___Column[[#This Row],[Data Set Name]], D:D, Calculate_Technical_Metadata___Column[[#This Row],[Column Name]], A:A, Calculate_Technical_Metadata___Column[[#This Row],[System/Data Subject Area Name]], B:B, Calculate_Technical_Metadata___Column[[#This Row],[Schema/Database Name]]) &lt;&gt; 1, 0, 1)</f>
        <v>1</v>
      </c>
      <c r="AD70" s="11">
        <f>IF(ISERROR(FIND("  ",Calculate_Technical_Metadata___Column[[#This Row],[System/Data Subject Area Name]], 1))=TRUE, 1, 0)</f>
        <v>1</v>
      </c>
      <c r="AE70" s="11">
        <f>IF(ISERROR(FIND(" ",Calculate_Technical_Metadata___Column[[#This Row],[Schema/Database Name]], 1))=TRUE, 1, 0)</f>
        <v>1</v>
      </c>
      <c r="AF70" s="11">
        <f>IF(OR(ISERROR(FIND(" ",Calculate_Technical_Metadata___Column[[#This Row],[Data Set Name]], 1))=TRUE, ISERROR(FIND("__",Calculate_Technical_Metadata___Column[[#This Row],[Data Set Name]], 1))=TRUE)=TRUE, 1, 0)</f>
        <v>1</v>
      </c>
      <c r="AG70" s="11">
        <f>IF(ISERROR(FIND(" ",Calculate_Technical_Metadata___Column[[#This Row],[Column Name]], 1))=TRUE, 1, 0)</f>
        <v>1</v>
      </c>
      <c r="AH70" s="11">
        <f>IF(ISERROR(FIND("  ",Calculate_Technical_Metadata___Column[[#This Row],[Updated By]], 1))=TRUE, 1, 0)</f>
        <v>1</v>
      </c>
      <c r="AJ70">
        <f>IF(OR(Calculate_Technical_Metadata___Column[[#This Row],[Data Zone (MDZ/GDZ)]]="GDZ",Calculate_Technical_Metadata___Column[[#This Row],[Data Zone (MDZ/GDZ)]]= "MDZ",Calculate_Technical_Metadata___Column[[#This Row],[Data Zone (MDZ/GDZ)]]= "INVX Data Lake")=TRUE, 1, 0)</f>
        <v>1</v>
      </c>
      <c r="AK70" s="11">
        <f>IF(OR(Calculate_Technical_Metadata___Column[[#This Row],[PII/Non-PII]]="PII",Calculate_Technical_Metadata___Column[[#This Row],[PII/Non-PII]]= "Non-PII")=TRUE, 1, 0)</f>
        <v>1</v>
      </c>
      <c r="AL70" s="11" t="str">
        <f xml:space="preserve"> IF(ISERROR(FIND("(",Calculate_Technical_Metadata___Column[[#This Row],[Type]], 1)) = FALSE, _xlfn.TEXTBEFORE(Calculate_Technical_Metadata___Column[[#This Row],[Type]], "("),Calculate_Technical_Metadata___Column[[#This Row],[Type]])</f>
        <v>string</v>
      </c>
      <c r="AM70" s="11">
        <f>IF(COUNTIF(Type!A:A,Calculate_Technical_Metadata___Column[[#This Row],[Type]]) &gt; 0, 1, 0)</f>
        <v>1</v>
      </c>
      <c r="AN70" s="13">
        <f>IF(OR(Calculate_Technical_Metadata___Column[[#This Row],[Nullable]]="Yes",Calculate_Technical_Metadata___Column[[#This Row],[Nullable]]="No")=TRUE, 1, 0)</f>
        <v>1</v>
      </c>
    </row>
    <row r="71" spans="1:40" x14ac:dyDescent="0.3">
      <c r="A71" s="73" t="s">
        <v>38</v>
      </c>
      <c r="B71" s="73" t="s">
        <v>39</v>
      </c>
      <c r="C71" s="73" t="s">
        <v>619</v>
      </c>
      <c r="D71" s="73" t="s">
        <v>621</v>
      </c>
      <c r="E71" t="s">
        <v>42</v>
      </c>
      <c r="F71" s="73" t="s">
        <v>43</v>
      </c>
      <c r="G71" s="73" t="s">
        <v>45</v>
      </c>
      <c r="H71" s="73" t="s">
        <v>55</v>
      </c>
      <c r="I71" t="s">
        <v>47</v>
      </c>
      <c r="J71" s="73" t="s">
        <v>48</v>
      </c>
      <c r="K71" s="71">
        <v>45454</v>
      </c>
      <c r="L71" s="73" t="s">
        <v>57</v>
      </c>
      <c r="N71" s="11">
        <f>IF(ISBLANK(Calculate_Technical_Metadata___Column[[#This Row],[System/Data Subject Area Name]])=TRUE, 0, 1)</f>
        <v>1</v>
      </c>
      <c r="O71" s="11">
        <f>IF(ISBLANK(Calculate_Technical_Metadata___Column[[#This Row],[Schema/Database Name]])=TRUE, 0, 1)</f>
        <v>1</v>
      </c>
      <c r="P71" s="11">
        <f>IF(ISBLANK(Calculate_Technical_Metadata___Column[[#This Row],[Data Set Name]])=TRUE, 0, 1)</f>
        <v>1</v>
      </c>
      <c r="Q71" s="11">
        <f>IF(ISBLANK(Calculate_Technical_Metadata___Column[[#This Row],[Column Name]])=TRUE, 0, 1)</f>
        <v>1</v>
      </c>
      <c r="R71" s="11">
        <f>IF(ISBLANK(Calculate_Technical_Metadata___Column[[#This Row],[Data Zone (MDZ/GDZ)]])=TRUE, 0, 1)</f>
        <v>1</v>
      </c>
      <c r="S71" s="11">
        <f>IF(ISBLANK(Calculate_Technical_Metadata___Column[[#This Row],[PII/Non-PII]])=TRUE, 0, 1)</f>
        <v>1</v>
      </c>
      <c r="T71" s="11">
        <f>IF(ISBLANK(Calculate_Technical_Metadata___Column[[#This Row],[Type]])=TRUE, 0, 1)</f>
        <v>1</v>
      </c>
      <c r="U71" s="11">
        <f>IF(ISBLANK(Calculate_Technical_Metadata___Column[[#This Row],[Format]])=TRUE, 0, 1)</f>
        <v>1</v>
      </c>
      <c r="V71" s="11">
        <f>IF(ISBLANK(Calculate_Technical_Metadata___Column[[#This Row],[Nullable]])=TRUE, 0, 1)</f>
        <v>1</v>
      </c>
      <c r="W71" s="11">
        <f>IF(ISBLANK(Calculate_Technical_Metadata___Column[[#This Row],[Updated Date ]])=TRUE, 0, 1)</f>
        <v>1</v>
      </c>
      <c r="X71" s="11">
        <f>IF(ISBLANK(Calculate_Technical_Metadata___Column[[#This Row],[Updated By]])=TRUE, 0, 1)</f>
        <v>1</v>
      </c>
      <c r="Z71">
        <f>IF(COUNTIFS('Cal_Technical - Data Set'!A:A, Calculate_Technical_Metadata___Column[[#This Row],[Data Set Name]]) &gt; 0, 1,0)</f>
        <v>1</v>
      </c>
      <c r="AB71">
        <f>IF( COUNTIFS(C:C, Calculate_Technical_Metadata___Column[[#This Row],[Data Set Name]], D:D, Calculate_Technical_Metadata___Column[[#This Row],[Column Name]], A:A, Calculate_Technical_Metadata___Column[[#This Row],[System/Data Subject Area Name]], B:B, Calculate_Technical_Metadata___Column[[#This Row],[Schema/Database Name]]) &lt;&gt; 1, 0, 1)</f>
        <v>1</v>
      </c>
      <c r="AD71" s="11">
        <f>IF(ISERROR(FIND("  ",Calculate_Technical_Metadata___Column[[#This Row],[System/Data Subject Area Name]], 1))=TRUE, 1, 0)</f>
        <v>1</v>
      </c>
      <c r="AE71" s="11">
        <f>IF(ISERROR(FIND(" ",Calculate_Technical_Metadata___Column[[#This Row],[Schema/Database Name]], 1))=TRUE, 1, 0)</f>
        <v>1</v>
      </c>
      <c r="AF71" s="11">
        <f>IF(OR(ISERROR(FIND(" ",Calculate_Technical_Metadata___Column[[#This Row],[Data Set Name]], 1))=TRUE, ISERROR(FIND("__",Calculate_Technical_Metadata___Column[[#This Row],[Data Set Name]], 1))=TRUE)=TRUE, 1, 0)</f>
        <v>1</v>
      </c>
      <c r="AG71" s="11">
        <f>IF(ISERROR(FIND(" ",Calculate_Technical_Metadata___Column[[#This Row],[Column Name]], 1))=TRUE, 1, 0)</f>
        <v>1</v>
      </c>
      <c r="AH71" s="11">
        <f>IF(ISERROR(FIND("  ",Calculate_Technical_Metadata___Column[[#This Row],[Updated By]], 1))=TRUE, 1, 0)</f>
        <v>1</v>
      </c>
      <c r="AJ71">
        <f>IF(OR(Calculate_Technical_Metadata___Column[[#This Row],[Data Zone (MDZ/GDZ)]]="GDZ",Calculate_Technical_Metadata___Column[[#This Row],[Data Zone (MDZ/GDZ)]]= "MDZ",Calculate_Technical_Metadata___Column[[#This Row],[Data Zone (MDZ/GDZ)]]= "INVX Data Lake")=TRUE, 1, 0)</f>
        <v>1</v>
      </c>
      <c r="AK71" s="11">
        <f>IF(OR(Calculate_Technical_Metadata___Column[[#This Row],[PII/Non-PII]]="PII",Calculate_Technical_Metadata___Column[[#This Row],[PII/Non-PII]]= "Non-PII")=TRUE, 1, 0)</f>
        <v>1</v>
      </c>
      <c r="AL71" s="11" t="str">
        <f xml:space="preserve"> IF(ISERROR(FIND("(",Calculate_Technical_Metadata___Column[[#This Row],[Type]], 1)) = FALSE, _xlfn.TEXTBEFORE(Calculate_Technical_Metadata___Column[[#This Row],[Type]], "("),Calculate_Technical_Metadata___Column[[#This Row],[Type]])</f>
        <v>string</v>
      </c>
      <c r="AM71" s="11">
        <f>IF(COUNTIF(Type!A:A,Calculate_Technical_Metadata___Column[[#This Row],[Type]]) &gt; 0, 1, 0)</f>
        <v>1</v>
      </c>
      <c r="AN71" s="13">
        <f>IF(OR(Calculate_Technical_Metadata___Column[[#This Row],[Nullable]]="Yes",Calculate_Technical_Metadata___Column[[#This Row],[Nullable]]="No")=TRUE, 1, 0)</f>
        <v>1</v>
      </c>
    </row>
    <row r="72" spans="1:40" x14ac:dyDescent="0.3">
      <c r="A72" s="73" t="s">
        <v>38</v>
      </c>
      <c r="B72" s="73" t="s">
        <v>39</v>
      </c>
      <c r="C72" s="73" t="s">
        <v>619</v>
      </c>
      <c r="D72" s="73" t="s">
        <v>622</v>
      </c>
      <c r="E72" t="s">
        <v>42</v>
      </c>
      <c r="F72" s="73" t="s">
        <v>43</v>
      </c>
      <c r="G72" s="73" t="s">
        <v>45</v>
      </c>
      <c r="H72" s="73" t="s">
        <v>46</v>
      </c>
      <c r="I72" t="s">
        <v>47</v>
      </c>
      <c r="J72" s="73" t="s">
        <v>48</v>
      </c>
      <c r="K72" s="71">
        <v>45454</v>
      </c>
      <c r="L72" s="73" t="s">
        <v>57</v>
      </c>
      <c r="N72" s="11">
        <f>IF(ISBLANK(Calculate_Technical_Metadata___Column[[#This Row],[System/Data Subject Area Name]])=TRUE, 0, 1)</f>
        <v>1</v>
      </c>
      <c r="O72" s="11">
        <f>IF(ISBLANK(Calculate_Technical_Metadata___Column[[#This Row],[Schema/Database Name]])=TRUE, 0, 1)</f>
        <v>1</v>
      </c>
      <c r="P72" s="11">
        <f>IF(ISBLANK(Calculate_Technical_Metadata___Column[[#This Row],[Data Set Name]])=TRUE, 0, 1)</f>
        <v>1</v>
      </c>
      <c r="Q72" s="11">
        <f>IF(ISBLANK(Calculate_Technical_Metadata___Column[[#This Row],[Column Name]])=TRUE, 0, 1)</f>
        <v>1</v>
      </c>
      <c r="R72" s="11">
        <f>IF(ISBLANK(Calculate_Technical_Metadata___Column[[#This Row],[Data Zone (MDZ/GDZ)]])=TRUE, 0, 1)</f>
        <v>1</v>
      </c>
      <c r="S72" s="11">
        <f>IF(ISBLANK(Calculate_Technical_Metadata___Column[[#This Row],[PII/Non-PII]])=TRUE, 0, 1)</f>
        <v>1</v>
      </c>
      <c r="T72" s="11">
        <f>IF(ISBLANK(Calculate_Technical_Metadata___Column[[#This Row],[Type]])=TRUE, 0, 1)</f>
        <v>1</v>
      </c>
      <c r="U72" s="11">
        <f>IF(ISBLANK(Calculate_Technical_Metadata___Column[[#This Row],[Format]])=TRUE, 0, 1)</f>
        <v>1</v>
      </c>
      <c r="V72" s="11">
        <f>IF(ISBLANK(Calculate_Technical_Metadata___Column[[#This Row],[Nullable]])=TRUE, 0, 1)</f>
        <v>1</v>
      </c>
      <c r="W72" s="11">
        <f>IF(ISBLANK(Calculate_Technical_Metadata___Column[[#This Row],[Updated Date ]])=TRUE, 0, 1)</f>
        <v>1</v>
      </c>
      <c r="X72" s="11">
        <f>IF(ISBLANK(Calculate_Technical_Metadata___Column[[#This Row],[Updated By]])=TRUE, 0, 1)</f>
        <v>1</v>
      </c>
      <c r="Z72">
        <f>IF(COUNTIFS('Cal_Technical - Data Set'!A:A, Calculate_Technical_Metadata___Column[[#This Row],[Data Set Name]]) &gt; 0, 1,0)</f>
        <v>1</v>
      </c>
      <c r="AB72">
        <f>IF( COUNTIFS(C:C, Calculate_Technical_Metadata___Column[[#This Row],[Data Set Name]], D:D, Calculate_Technical_Metadata___Column[[#This Row],[Column Name]], A:A, Calculate_Technical_Metadata___Column[[#This Row],[System/Data Subject Area Name]], B:B, Calculate_Technical_Metadata___Column[[#This Row],[Schema/Database Name]]) &lt;&gt; 1, 0, 1)</f>
        <v>1</v>
      </c>
      <c r="AD72" s="11">
        <f>IF(ISERROR(FIND("  ",Calculate_Technical_Metadata___Column[[#This Row],[System/Data Subject Area Name]], 1))=TRUE, 1, 0)</f>
        <v>1</v>
      </c>
      <c r="AE72" s="11">
        <f>IF(ISERROR(FIND(" ",Calculate_Technical_Metadata___Column[[#This Row],[Schema/Database Name]], 1))=TRUE, 1, 0)</f>
        <v>1</v>
      </c>
      <c r="AF72" s="11">
        <f>IF(OR(ISERROR(FIND(" ",Calculate_Technical_Metadata___Column[[#This Row],[Data Set Name]], 1))=TRUE, ISERROR(FIND("__",Calculate_Technical_Metadata___Column[[#This Row],[Data Set Name]], 1))=TRUE)=TRUE, 1, 0)</f>
        <v>1</v>
      </c>
      <c r="AG72" s="11">
        <f>IF(ISERROR(FIND(" ",Calculate_Technical_Metadata___Column[[#This Row],[Column Name]], 1))=TRUE, 1, 0)</f>
        <v>1</v>
      </c>
      <c r="AH72" s="11">
        <f>IF(ISERROR(FIND("  ",Calculate_Technical_Metadata___Column[[#This Row],[Updated By]], 1))=TRUE, 1, 0)</f>
        <v>1</v>
      </c>
      <c r="AJ72">
        <f>IF(OR(Calculate_Technical_Metadata___Column[[#This Row],[Data Zone (MDZ/GDZ)]]="GDZ",Calculate_Technical_Metadata___Column[[#This Row],[Data Zone (MDZ/GDZ)]]= "MDZ",Calculate_Technical_Metadata___Column[[#This Row],[Data Zone (MDZ/GDZ)]]= "INVX Data Lake")=TRUE, 1, 0)</f>
        <v>1</v>
      </c>
      <c r="AK72" s="11">
        <f>IF(OR(Calculate_Technical_Metadata___Column[[#This Row],[PII/Non-PII]]="PII",Calculate_Technical_Metadata___Column[[#This Row],[PII/Non-PII]]= "Non-PII")=TRUE, 1, 0)</f>
        <v>1</v>
      </c>
      <c r="AL72" s="11" t="str">
        <f xml:space="preserve"> IF(ISERROR(FIND("(",Calculate_Technical_Metadata___Column[[#This Row],[Type]], 1)) = FALSE, _xlfn.TEXTBEFORE(Calculate_Technical_Metadata___Column[[#This Row],[Type]], "("),Calculate_Technical_Metadata___Column[[#This Row],[Type]])</f>
        <v>string</v>
      </c>
      <c r="AM72" s="11">
        <f>IF(COUNTIF(Type!A:A,Calculate_Technical_Metadata___Column[[#This Row],[Type]]) &gt; 0, 1, 0)</f>
        <v>1</v>
      </c>
      <c r="AN72" s="13">
        <f>IF(OR(Calculate_Technical_Metadata___Column[[#This Row],[Nullable]]="Yes",Calculate_Technical_Metadata___Column[[#This Row],[Nullable]]="No")=TRUE, 1, 0)</f>
        <v>1</v>
      </c>
    </row>
    <row r="73" spans="1:40" x14ac:dyDescent="0.3">
      <c r="A73" s="73" t="s">
        <v>38</v>
      </c>
      <c r="B73" s="73" t="s">
        <v>39</v>
      </c>
      <c r="C73" s="73" t="s">
        <v>619</v>
      </c>
      <c r="D73" s="73" t="s">
        <v>623</v>
      </c>
      <c r="E73" t="s">
        <v>42</v>
      </c>
      <c r="F73" s="73" t="s">
        <v>43</v>
      </c>
      <c r="G73" s="73" t="s">
        <v>45</v>
      </c>
      <c r="H73" s="73" t="s">
        <v>46</v>
      </c>
      <c r="I73" t="s">
        <v>47</v>
      </c>
      <c r="J73" s="73" t="s">
        <v>48</v>
      </c>
      <c r="K73" s="71">
        <v>45454</v>
      </c>
      <c r="L73" s="73" t="s">
        <v>57</v>
      </c>
      <c r="N73" s="11">
        <f>IF(ISBLANK(Calculate_Technical_Metadata___Column[[#This Row],[System/Data Subject Area Name]])=TRUE, 0, 1)</f>
        <v>1</v>
      </c>
      <c r="O73" s="11">
        <f>IF(ISBLANK(Calculate_Technical_Metadata___Column[[#This Row],[Schema/Database Name]])=TRUE, 0, 1)</f>
        <v>1</v>
      </c>
      <c r="P73" s="11">
        <f>IF(ISBLANK(Calculate_Technical_Metadata___Column[[#This Row],[Data Set Name]])=TRUE, 0, 1)</f>
        <v>1</v>
      </c>
      <c r="Q73" s="11">
        <f>IF(ISBLANK(Calculate_Technical_Metadata___Column[[#This Row],[Column Name]])=TRUE, 0, 1)</f>
        <v>1</v>
      </c>
      <c r="R73" s="11">
        <f>IF(ISBLANK(Calculate_Technical_Metadata___Column[[#This Row],[Data Zone (MDZ/GDZ)]])=TRUE, 0, 1)</f>
        <v>1</v>
      </c>
      <c r="S73" s="11">
        <f>IF(ISBLANK(Calculate_Technical_Metadata___Column[[#This Row],[PII/Non-PII]])=TRUE, 0, 1)</f>
        <v>1</v>
      </c>
      <c r="T73" s="11">
        <f>IF(ISBLANK(Calculate_Technical_Metadata___Column[[#This Row],[Type]])=TRUE, 0, 1)</f>
        <v>1</v>
      </c>
      <c r="U73" s="11">
        <f>IF(ISBLANK(Calculate_Technical_Metadata___Column[[#This Row],[Format]])=TRUE, 0, 1)</f>
        <v>1</v>
      </c>
      <c r="V73" s="11">
        <f>IF(ISBLANK(Calculate_Technical_Metadata___Column[[#This Row],[Nullable]])=TRUE, 0, 1)</f>
        <v>1</v>
      </c>
      <c r="W73" s="11">
        <f>IF(ISBLANK(Calculate_Technical_Metadata___Column[[#This Row],[Updated Date ]])=TRUE, 0, 1)</f>
        <v>1</v>
      </c>
      <c r="X73" s="11">
        <f>IF(ISBLANK(Calculate_Technical_Metadata___Column[[#This Row],[Updated By]])=TRUE, 0, 1)</f>
        <v>1</v>
      </c>
      <c r="Z73">
        <f>IF(COUNTIFS('Cal_Technical - Data Set'!A:A, Calculate_Technical_Metadata___Column[[#This Row],[Data Set Name]]) &gt; 0, 1,0)</f>
        <v>1</v>
      </c>
      <c r="AB73">
        <f>IF( COUNTIFS(C:C, Calculate_Technical_Metadata___Column[[#This Row],[Data Set Name]], D:D, Calculate_Technical_Metadata___Column[[#This Row],[Column Name]], A:A, Calculate_Technical_Metadata___Column[[#This Row],[System/Data Subject Area Name]], B:B, Calculate_Technical_Metadata___Column[[#This Row],[Schema/Database Name]]) &lt;&gt; 1, 0, 1)</f>
        <v>1</v>
      </c>
      <c r="AD73" s="11">
        <f>IF(ISERROR(FIND("  ",Calculate_Technical_Metadata___Column[[#This Row],[System/Data Subject Area Name]], 1))=TRUE, 1, 0)</f>
        <v>1</v>
      </c>
      <c r="AE73" s="11">
        <f>IF(ISERROR(FIND(" ",Calculate_Technical_Metadata___Column[[#This Row],[Schema/Database Name]], 1))=TRUE, 1, 0)</f>
        <v>1</v>
      </c>
      <c r="AF73" s="11">
        <f>IF(OR(ISERROR(FIND(" ",Calculate_Technical_Metadata___Column[[#This Row],[Data Set Name]], 1))=TRUE, ISERROR(FIND("__",Calculate_Technical_Metadata___Column[[#This Row],[Data Set Name]], 1))=TRUE)=TRUE, 1, 0)</f>
        <v>1</v>
      </c>
      <c r="AG73" s="11">
        <f>IF(ISERROR(FIND(" ",Calculate_Technical_Metadata___Column[[#This Row],[Column Name]], 1))=TRUE, 1, 0)</f>
        <v>1</v>
      </c>
      <c r="AH73" s="11">
        <f>IF(ISERROR(FIND("  ",Calculate_Technical_Metadata___Column[[#This Row],[Updated By]], 1))=TRUE, 1, 0)</f>
        <v>1</v>
      </c>
      <c r="AJ73">
        <f>IF(OR(Calculate_Technical_Metadata___Column[[#This Row],[Data Zone (MDZ/GDZ)]]="GDZ",Calculate_Technical_Metadata___Column[[#This Row],[Data Zone (MDZ/GDZ)]]= "MDZ",Calculate_Technical_Metadata___Column[[#This Row],[Data Zone (MDZ/GDZ)]]= "INVX Data Lake")=TRUE, 1, 0)</f>
        <v>1</v>
      </c>
      <c r="AK73" s="11">
        <f>IF(OR(Calculate_Technical_Metadata___Column[[#This Row],[PII/Non-PII]]="PII",Calculate_Technical_Metadata___Column[[#This Row],[PII/Non-PII]]= "Non-PII")=TRUE, 1, 0)</f>
        <v>1</v>
      </c>
      <c r="AL73" s="11" t="str">
        <f xml:space="preserve"> IF(ISERROR(FIND("(",Calculate_Technical_Metadata___Column[[#This Row],[Type]], 1)) = FALSE, _xlfn.TEXTBEFORE(Calculate_Technical_Metadata___Column[[#This Row],[Type]], "("),Calculate_Technical_Metadata___Column[[#This Row],[Type]])</f>
        <v>string</v>
      </c>
      <c r="AM73" s="11">
        <f>IF(COUNTIF(Type!A:A,Calculate_Technical_Metadata___Column[[#This Row],[Type]]) &gt; 0, 1, 0)</f>
        <v>1</v>
      </c>
      <c r="AN73" s="13">
        <f>IF(OR(Calculate_Technical_Metadata___Column[[#This Row],[Nullable]]="Yes",Calculate_Technical_Metadata___Column[[#This Row],[Nullable]]="No")=TRUE, 1, 0)</f>
        <v>1</v>
      </c>
    </row>
    <row r="74" spans="1:40" x14ac:dyDescent="0.3">
      <c r="A74" s="73" t="s">
        <v>38</v>
      </c>
      <c r="B74" s="73" t="s">
        <v>39</v>
      </c>
      <c r="C74" s="73" t="s">
        <v>619</v>
      </c>
      <c r="D74" s="73" t="s">
        <v>624</v>
      </c>
      <c r="E74" t="s">
        <v>42</v>
      </c>
      <c r="F74" s="73" t="s">
        <v>43</v>
      </c>
      <c r="G74" s="73" t="s">
        <v>346</v>
      </c>
      <c r="H74" s="73" t="s">
        <v>89</v>
      </c>
      <c r="I74" t="s">
        <v>90</v>
      </c>
      <c r="J74" s="73" t="s">
        <v>48</v>
      </c>
      <c r="K74" s="71">
        <v>45454</v>
      </c>
      <c r="L74" s="73" t="s">
        <v>57</v>
      </c>
      <c r="N74" s="11">
        <f>IF(ISBLANK(Calculate_Technical_Metadata___Column[[#This Row],[System/Data Subject Area Name]])=TRUE, 0, 1)</f>
        <v>1</v>
      </c>
      <c r="O74" s="11">
        <f>IF(ISBLANK(Calculate_Technical_Metadata___Column[[#This Row],[Schema/Database Name]])=TRUE, 0, 1)</f>
        <v>1</v>
      </c>
      <c r="P74" s="11">
        <f>IF(ISBLANK(Calculate_Technical_Metadata___Column[[#This Row],[Data Set Name]])=TRUE, 0, 1)</f>
        <v>1</v>
      </c>
      <c r="Q74" s="11">
        <f>IF(ISBLANK(Calculate_Technical_Metadata___Column[[#This Row],[Column Name]])=TRUE, 0, 1)</f>
        <v>1</v>
      </c>
      <c r="R74" s="11">
        <f>IF(ISBLANK(Calculate_Technical_Metadata___Column[[#This Row],[Data Zone (MDZ/GDZ)]])=TRUE, 0, 1)</f>
        <v>1</v>
      </c>
      <c r="S74" s="11">
        <f>IF(ISBLANK(Calculate_Technical_Metadata___Column[[#This Row],[PII/Non-PII]])=TRUE, 0, 1)</f>
        <v>1</v>
      </c>
      <c r="T74" s="11">
        <f>IF(ISBLANK(Calculate_Technical_Metadata___Column[[#This Row],[Type]])=TRUE, 0, 1)</f>
        <v>1</v>
      </c>
      <c r="U74" s="11">
        <f>IF(ISBLANK(Calculate_Technical_Metadata___Column[[#This Row],[Format]])=TRUE, 0, 1)</f>
        <v>1</v>
      </c>
      <c r="V74" s="11">
        <f>IF(ISBLANK(Calculate_Technical_Metadata___Column[[#This Row],[Nullable]])=TRUE, 0, 1)</f>
        <v>1</v>
      </c>
      <c r="W74" s="11">
        <f>IF(ISBLANK(Calculate_Technical_Metadata___Column[[#This Row],[Updated Date ]])=TRUE, 0, 1)</f>
        <v>1</v>
      </c>
      <c r="X74" s="11">
        <f>IF(ISBLANK(Calculate_Technical_Metadata___Column[[#This Row],[Updated By]])=TRUE, 0, 1)</f>
        <v>1</v>
      </c>
      <c r="Z74">
        <f>IF(COUNTIFS('Cal_Technical - Data Set'!A:A, Calculate_Technical_Metadata___Column[[#This Row],[Data Set Name]]) &gt; 0, 1,0)</f>
        <v>1</v>
      </c>
      <c r="AB74">
        <f>IF( COUNTIFS(C:C, Calculate_Technical_Metadata___Column[[#This Row],[Data Set Name]], D:D, Calculate_Technical_Metadata___Column[[#This Row],[Column Name]], A:A, Calculate_Technical_Metadata___Column[[#This Row],[System/Data Subject Area Name]], B:B, Calculate_Technical_Metadata___Column[[#This Row],[Schema/Database Name]]) &lt;&gt; 1, 0, 1)</f>
        <v>1</v>
      </c>
      <c r="AD74" s="11">
        <f>IF(ISERROR(FIND("  ",Calculate_Technical_Metadata___Column[[#This Row],[System/Data Subject Area Name]], 1))=TRUE, 1, 0)</f>
        <v>1</v>
      </c>
      <c r="AE74" s="11">
        <f>IF(ISERROR(FIND(" ",Calculate_Technical_Metadata___Column[[#This Row],[Schema/Database Name]], 1))=TRUE, 1, 0)</f>
        <v>1</v>
      </c>
      <c r="AF74" s="11">
        <f>IF(OR(ISERROR(FIND(" ",Calculate_Technical_Metadata___Column[[#This Row],[Data Set Name]], 1))=TRUE, ISERROR(FIND("__",Calculate_Technical_Metadata___Column[[#This Row],[Data Set Name]], 1))=TRUE)=TRUE, 1, 0)</f>
        <v>1</v>
      </c>
      <c r="AG74" s="11">
        <f>IF(ISERROR(FIND(" ",Calculate_Technical_Metadata___Column[[#This Row],[Column Name]], 1))=TRUE, 1, 0)</f>
        <v>1</v>
      </c>
      <c r="AH74" s="11">
        <f>IF(ISERROR(FIND("  ",Calculate_Technical_Metadata___Column[[#This Row],[Updated By]], 1))=TRUE, 1, 0)</f>
        <v>1</v>
      </c>
      <c r="AJ74">
        <f>IF(OR(Calculate_Technical_Metadata___Column[[#This Row],[Data Zone (MDZ/GDZ)]]="GDZ",Calculate_Technical_Metadata___Column[[#This Row],[Data Zone (MDZ/GDZ)]]= "MDZ",Calculate_Technical_Metadata___Column[[#This Row],[Data Zone (MDZ/GDZ)]]= "INVX Data Lake")=TRUE, 1, 0)</f>
        <v>1</v>
      </c>
      <c r="AK74" s="11">
        <f>IF(OR(Calculate_Technical_Metadata___Column[[#This Row],[PII/Non-PII]]="PII",Calculate_Technical_Metadata___Column[[#This Row],[PII/Non-PII]]= "Non-PII")=TRUE, 1, 0)</f>
        <v>1</v>
      </c>
      <c r="AL74" s="11" t="str">
        <f xml:space="preserve"> IF(ISERROR(FIND("(",Calculate_Technical_Metadata___Column[[#This Row],[Type]], 1)) = FALSE, _xlfn.TEXTBEFORE(Calculate_Technical_Metadata___Column[[#This Row],[Type]], "("),Calculate_Technical_Metadata___Column[[#This Row],[Type]])</f>
        <v>decimal</v>
      </c>
      <c r="AM74" s="11">
        <f>IF(COUNTIF(Type!A:A,Calculate_Technical_Metadata___Column[[#This Row],[Type]]) &gt; 0, 1, 0)</f>
        <v>1</v>
      </c>
      <c r="AN74" s="13">
        <f>IF(OR(Calculate_Technical_Metadata___Column[[#This Row],[Nullable]]="Yes",Calculate_Technical_Metadata___Column[[#This Row],[Nullable]]="No")=TRUE, 1, 0)</f>
        <v>1</v>
      </c>
    </row>
    <row r="75" spans="1:40" x14ac:dyDescent="0.3">
      <c r="A75" s="73" t="s">
        <v>38</v>
      </c>
      <c r="B75" s="73" t="s">
        <v>39</v>
      </c>
      <c r="C75" s="73" t="s">
        <v>619</v>
      </c>
      <c r="D75" s="73" t="s">
        <v>625</v>
      </c>
      <c r="E75" t="s">
        <v>42</v>
      </c>
      <c r="F75" s="73" t="s">
        <v>43</v>
      </c>
      <c r="G75" s="73" t="s">
        <v>346</v>
      </c>
      <c r="H75" s="73" t="s">
        <v>89</v>
      </c>
      <c r="I75" t="s">
        <v>90</v>
      </c>
      <c r="J75" s="73" t="s">
        <v>48</v>
      </c>
      <c r="K75" s="71">
        <v>45454</v>
      </c>
      <c r="L75" s="73" t="s">
        <v>57</v>
      </c>
      <c r="N75" s="11">
        <f>IF(ISBLANK(Calculate_Technical_Metadata___Column[[#This Row],[System/Data Subject Area Name]])=TRUE, 0, 1)</f>
        <v>1</v>
      </c>
      <c r="O75" s="11">
        <f>IF(ISBLANK(Calculate_Technical_Metadata___Column[[#This Row],[Schema/Database Name]])=TRUE, 0, 1)</f>
        <v>1</v>
      </c>
      <c r="P75" s="11">
        <f>IF(ISBLANK(Calculate_Technical_Metadata___Column[[#This Row],[Data Set Name]])=TRUE, 0, 1)</f>
        <v>1</v>
      </c>
      <c r="Q75" s="11">
        <f>IF(ISBLANK(Calculate_Technical_Metadata___Column[[#This Row],[Column Name]])=TRUE, 0, 1)</f>
        <v>1</v>
      </c>
      <c r="R75" s="11">
        <f>IF(ISBLANK(Calculate_Technical_Metadata___Column[[#This Row],[Data Zone (MDZ/GDZ)]])=TRUE, 0, 1)</f>
        <v>1</v>
      </c>
      <c r="S75" s="11">
        <f>IF(ISBLANK(Calculate_Technical_Metadata___Column[[#This Row],[PII/Non-PII]])=TRUE, 0, 1)</f>
        <v>1</v>
      </c>
      <c r="T75" s="11">
        <f>IF(ISBLANK(Calculate_Technical_Metadata___Column[[#This Row],[Type]])=TRUE, 0, 1)</f>
        <v>1</v>
      </c>
      <c r="U75" s="11">
        <f>IF(ISBLANK(Calculate_Technical_Metadata___Column[[#This Row],[Format]])=TRUE, 0, 1)</f>
        <v>1</v>
      </c>
      <c r="V75" s="11">
        <f>IF(ISBLANK(Calculate_Technical_Metadata___Column[[#This Row],[Nullable]])=TRUE, 0, 1)</f>
        <v>1</v>
      </c>
      <c r="W75" s="11">
        <f>IF(ISBLANK(Calculate_Technical_Metadata___Column[[#This Row],[Updated Date ]])=TRUE, 0, 1)</f>
        <v>1</v>
      </c>
      <c r="X75" s="11">
        <f>IF(ISBLANK(Calculate_Technical_Metadata___Column[[#This Row],[Updated By]])=TRUE, 0, 1)</f>
        <v>1</v>
      </c>
      <c r="Z75">
        <f>IF(COUNTIFS('Cal_Technical - Data Set'!A:A, Calculate_Technical_Metadata___Column[[#This Row],[Data Set Name]]) &gt; 0, 1,0)</f>
        <v>1</v>
      </c>
      <c r="AB75">
        <f>IF( COUNTIFS(C:C, Calculate_Technical_Metadata___Column[[#This Row],[Data Set Name]], D:D, Calculate_Technical_Metadata___Column[[#This Row],[Column Name]], A:A, Calculate_Technical_Metadata___Column[[#This Row],[System/Data Subject Area Name]], B:B, Calculate_Technical_Metadata___Column[[#This Row],[Schema/Database Name]]) &lt;&gt; 1, 0, 1)</f>
        <v>1</v>
      </c>
      <c r="AD75" s="11">
        <f>IF(ISERROR(FIND("  ",Calculate_Technical_Metadata___Column[[#This Row],[System/Data Subject Area Name]], 1))=TRUE, 1, 0)</f>
        <v>1</v>
      </c>
      <c r="AE75" s="11">
        <f>IF(ISERROR(FIND(" ",Calculate_Technical_Metadata___Column[[#This Row],[Schema/Database Name]], 1))=TRUE, 1, 0)</f>
        <v>1</v>
      </c>
      <c r="AF75" s="11">
        <f>IF(OR(ISERROR(FIND(" ",Calculate_Technical_Metadata___Column[[#This Row],[Data Set Name]], 1))=TRUE, ISERROR(FIND("__",Calculate_Technical_Metadata___Column[[#This Row],[Data Set Name]], 1))=TRUE)=TRUE, 1, 0)</f>
        <v>1</v>
      </c>
      <c r="AG75" s="11">
        <f>IF(ISERROR(FIND(" ",Calculate_Technical_Metadata___Column[[#This Row],[Column Name]], 1))=TRUE, 1, 0)</f>
        <v>1</v>
      </c>
      <c r="AH75" s="11">
        <f>IF(ISERROR(FIND("  ",Calculate_Technical_Metadata___Column[[#This Row],[Updated By]], 1))=TRUE, 1, 0)</f>
        <v>1</v>
      </c>
      <c r="AJ75">
        <f>IF(OR(Calculate_Technical_Metadata___Column[[#This Row],[Data Zone (MDZ/GDZ)]]="GDZ",Calculate_Technical_Metadata___Column[[#This Row],[Data Zone (MDZ/GDZ)]]= "MDZ",Calculate_Technical_Metadata___Column[[#This Row],[Data Zone (MDZ/GDZ)]]= "INVX Data Lake")=TRUE, 1, 0)</f>
        <v>1</v>
      </c>
      <c r="AK75" s="11">
        <f>IF(OR(Calculate_Technical_Metadata___Column[[#This Row],[PII/Non-PII]]="PII",Calculate_Technical_Metadata___Column[[#This Row],[PII/Non-PII]]= "Non-PII")=TRUE, 1, 0)</f>
        <v>1</v>
      </c>
      <c r="AL75" s="11" t="str">
        <f xml:space="preserve"> IF(ISERROR(FIND("(",Calculate_Technical_Metadata___Column[[#This Row],[Type]], 1)) = FALSE, _xlfn.TEXTBEFORE(Calculate_Technical_Metadata___Column[[#This Row],[Type]], "("),Calculate_Technical_Metadata___Column[[#This Row],[Type]])</f>
        <v>decimal</v>
      </c>
      <c r="AM75" s="11">
        <f>IF(COUNTIF(Type!A:A,Calculate_Technical_Metadata___Column[[#This Row],[Type]]) &gt; 0, 1, 0)</f>
        <v>1</v>
      </c>
      <c r="AN75" s="13">
        <f>IF(OR(Calculate_Technical_Metadata___Column[[#This Row],[Nullable]]="Yes",Calculate_Technical_Metadata___Column[[#This Row],[Nullable]]="No")=TRUE, 1, 0)</f>
        <v>1</v>
      </c>
    </row>
    <row r="76" spans="1:40" x14ac:dyDescent="0.3">
      <c r="A76" s="73" t="s">
        <v>38</v>
      </c>
      <c r="B76" s="73" t="s">
        <v>39</v>
      </c>
      <c r="C76" s="73" t="s">
        <v>619</v>
      </c>
      <c r="D76" s="73" t="s">
        <v>626</v>
      </c>
      <c r="E76" t="s">
        <v>42</v>
      </c>
      <c r="F76" s="73" t="s">
        <v>43</v>
      </c>
      <c r="G76" s="73" t="s">
        <v>45</v>
      </c>
      <c r="H76" s="73" t="s">
        <v>92</v>
      </c>
      <c r="I76" t="s">
        <v>47</v>
      </c>
      <c r="J76" s="73" t="s">
        <v>48</v>
      </c>
      <c r="K76" s="71">
        <v>45454</v>
      </c>
      <c r="L76" s="73" t="s">
        <v>57</v>
      </c>
      <c r="N76" s="11">
        <f>IF(ISBLANK(Calculate_Technical_Metadata___Column[[#This Row],[System/Data Subject Area Name]])=TRUE, 0, 1)</f>
        <v>1</v>
      </c>
      <c r="O76" s="11">
        <f>IF(ISBLANK(Calculate_Technical_Metadata___Column[[#This Row],[Schema/Database Name]])=TRUE, 0, 1)</f>
        <v>1</v>
      </c>
      <c r="P76" s="11">
        <f>IF(ISBLANK(Calculate_Technical_Metadata___Column[[#This Row],[Data Set Name]])=TRUE, 0, 1)</f>
        <v>1</v>
      </c>
      <c r="Q76" s="11">
        <f>IF(ISBLANK(Calculate_Technical_Metadata___Column[[#This Row],[Column Name]])=TRUE, 0, 1)</f>
        <v>1</v>
      </c>
      <c r="R76" s="11">
        <f>IF(ISBLANK(Calculate_Technical_Metadata___Column[[#This Row],[Data Zone (MDZ/GDZ)]])=TRUE, 0, 1)</f>
        <v>1</v>
      </c>
      <c r="S76" s="11">
        <f>IF(ISBLANK(Calculate_Technical_Metadata___Column[[#This Row],[PII/Non-PII]])=TRUE, 0, 1)</f>
        <v>1</v>
      </c>
      <c r="T76" s="11">
        <f>IF(ISBLANK(Calculate_Technical_Metadata___Column[[#This Row],[Type]])=TRUE, 0, 1)</f>
        <v>1</v>
      </c>
      <c r="U76" s="11">
        <f>IF(ISBLANK(Calculate_Technical_Metadata___Column[[#This Row],[Format]])=TRUE, 0, 1)</f>
        <v>1</v>
      </c>
      <c r="V76" s="11">
        <f>IF(ISBLANK(Calculate_Technical_Metadata___Column[[#This Row],[Nullable]])=TRUE, 0, 1)</f>
        <v>1</v>
      </c>
      <c r="W76" s="11">
        <f>IF(ISBLANK(Calculate_Technical_Metadata___Column[[#This Row],[Updated Date ]])=TRUE, 0, 1)</f>
        <v>1</v>
      </c>
      <c r="X76" s="11">
        <f>IF(ISBLANK(Calculate_Technical_Metadata___Column[[#This Row],[Updated By]])=TRUE, 0, 1)</f>
        <v>1</v>
      </c>
      <c r="Z76">
        <f>IF(COUNTIFS('Cal_Technical - Data Set'!A:A, Calculate_Technical_Metadata___Column[[#This Row],[Data Set Name]]) &gt; 0, 1,0)</f>
        <v>1</v>
      </c>
      <c r="AB76">
        <f>IF( COUNTIFS(C:C, Calculate_Technical_Metadata___Column[[#This Row],[Data Set Name]], D:D, Calculate_Technical_Metadata___Column[[#This Row],[Column Name]], A:A, Calculate_Technical_Metadata___Column[[#This Row],[System/Data Subject Area Name]], B:B, Calculate_Technical_Metadata___Column[[#This Row],[Schema/Database Name]]) &lt;&gt; 1, 0, 1)</f>
        <v>1</v>
      </c>
      <c r="AD76" s="11">
        <f>IF(ISERROR(FIND("  ",Calculate_Technical_Metadata___Column[[#This Row],[System/Data Subject Area Name]], 1))=TRUE, 1, 0)</f>
        <v>1</v>
      </c>
      <c r="AE76" s="11">
        <f>IF(ISERROR(FIND(" ",Calculate_Technical_Metadata___Column[[#This Row],[Schema/Database Name]], 1))=TRUE, 1, 0)</f>
        <v>1</v>
      </c>
      <c r="AF76" s="11">
        <f>IF(OR(ISERROR(FIND(" ",Calculate_Technical_Metadata___Column[[#This Row],[Data Set Name]], 1))=TRUE, ISERROR(FIND("__",Calculate_Technical_Metadata___Column[[#This Row],[Data Set Name]], 1))=TRUE)=TRUE, 1, 0)</f>
        <v>1</v>
      </c>
      <c r="AG76" s="11">
        <f>IF(ISERROR(FIND(" ",Calculate_Technical_Metadata___Column[[#This Row],[Column Name]], 1))=TRUE, 1, 0)</f>
        <v>1</v>
      </c>
      <c r="AH76" s="11">
        <f>IF(ISERROR(FIND("  ",Calculate_Technical_Metadata___Column[[#This Row],[Updated By]], 1))=TRUE, 1, 0)</f>
        <v>1</v>
      </c>
      <c r="AJ76">
        <f>IF(OR(Calculate_Technical_Metadata___Column[[#This Row],[Data Zone (MDZ/GDZ)]]="GDZ",Calculate_Technical_Metadata___Column[[#This Row],[Data Zone (MDZ/GDZ)]]= "MDZ",Calculate_Technical_Metadata___Column[[#This Row],[Data Zone (MDZ/GDZ)]]= "INVX Data Lake")=TRUE, 1, 0)</f>
        <v>1</v>
      </c>
      <c r="AK76" s="11">
        <f>IF(OR(Calculate_Technical_Metadata___Column[[#This Row],[PII/Non-PII]]="PII",Calculate_Technical_Metadata___Column[[#This Row],[PII/Non-PII]]= "Non-PII")=TRUE, 1, 0)</f>
        <v>1</v>
      </c>
      <c r="AL76" s="11" t="str">
        <f xml:space="preserve"> IF(ISERROR(FIND("(",Calculate_Technical_Metadata___Column[[#This Row],[Type]], 1)) = FALSE, _xlfn.TEXTBEFORE(Calculate_Technical_Metadata___Column[[#This Row],[Type]], "("),Calculate_Technical_Metadata___Column[[#This Row],[Type]])</f>
        <v>string</v>
      </c>
      <c r="AM76" s="11">
        <f>IF(COUNTIF(Type!A:A,Calculate_Technical_Metadata___Column[[#This Row],[Type]]) &gt; 0, 1, 0)</f>
        <v>1</v>
      </c>
      <c r="AN76" s="13">
        <f>IF(OR(Calculate_Technical_Metadata___Column[[#This Row],[Nullable]]="Yes",Calculate_Technical_Metadata___Column[[#This Row],[Nullable]]="No")=TRUE, 1, 0)</f>
        <v>1</v>
      </c>
    </row>
    <row r="77" spans="1:40" x14ac:dyDescent="0.3">
      <c r="A77" s="73" t="s">
        <v>38</v>
      </c>
      <c r="B77" s="73" t="s">
        <v>39</v>
      </c>
      <c r="C77" s="73" t="s">
        <v>619</v>
      </c>
      <c r="D77" s="73" t="s">
        <v>627</v>
      </c>
      <c r="E77" t="s">
        <v>42</v>
      </c>
      <c r="F77" s="73" t="s">
        <v>43</v>
      </c>
      <c r="G77" s="73" t="s">
        <v>45</v>
      </c>
      <c r="H77" s="73" t="s">
        <v>47</v>
      </c>
      <c r="I77" t="s">
        <v>47</v>
      </c>
      <c r="J77" s="73" t="s">
        <v>48</v>
      </c>
      <c r="K77" s="71">
        <v>45454</v>
      </c>
      <c r="L77" s="73" t="s">
        <v>57</v>
      </c>
      <c r="N77" s="11">
        <f>IF(ISBLANK(Calculate_Technical_Metadata___Column[[#This Row],[System/Data Subject Area Name]])=TRUE, 0, 1)</f>
        <v>1</v>
      </c>
      <c r="O77" s="11">
        <f>IF(ISBLANK(Calculate_Technical_Metadata___Column[[#This Row],[Schema/Database Name]])=TRUE, 0, 1)</f>
        <v>1</v>
      </c>
      <c r="P77" s="11">
        <f>IF(ISBLANK(Calculate_Technical_Metadata___Column[[#This Row],[Data Set Name]])=TRUE, 0, 1)</f>
        <v>1</v>
      </c>
      <c r="Q77" s="11">
        <f>IF(ISBLANK(Calculate_Technical_Metadata___Column[[#This Row],[Column Name]])=TRUE, 0, 1)</f>
        <v>1</v>
      </c>
      <c r="R77" s="11">
        <f>IF(ISBLANK(Calculate_Technical_Metadata___Column[[#This Row],[Data Zone (MDZ/GDZ)]])=TRUE, 0, 1)</f>
        <v>1</v>
      </c>
      <c r="S77" s="11">
        <f>IF(ISBLANK(Calculate_Technical_Metadata___Column[[#This Row],[PII/Non-PII]])=TRUE, 0, 1)</f>
        <v>1</v>
      </c>
      <c r="T77" s="11">
        <f>IF(ISBLANK(Calculate_Technical_Metadata___Column[[#This Row],[Type]])=TRUE, 0, 1)</f>
        <v>1</v>
      </c>
      <c r="U77" s="11">
        <f>IF(ISBLANK(Calculate_Technical_Metadata___Column[[#This Row],[Format]])=TRUE, 0, 1)</f>
        <v>1</v>
      </c>
      <c r="V77" s="11">
        <f>IF(ISBLANK(Calculate_Technical_Metadata___Column[[#This Row],[Nullable]])=TRUE, 0, 1)</f>
        <v>1</v>
      </c>
      <c r="W77" s="11">
        <f>IF(ISBLANK(Calculate_Technical_Metadata___Column[[#This Row],[Updated Date ]])=TRUE, 0, 1)</f>
        <v>1</v>
      </c>
      <c r="X77" s="11">
        <f>IF(ISBLANK(Calculate_Technical_Metadata___Column[[#This Row],[Updated By]])=TRUE, 0, 1)</f>
        <v>1</v>
      </c>
      <c r="Z77">
        <f>IF(COUNTIFS('Cal_Technical - Data Set'!A:A, Calculate_Technical_Metadata___Column[[#This Row],[Data Set Name]]) &gt; 0, 1,0)</f>
        <v>1</v>
      </c>
      <c r="AB77">
        <f>IF( COUNTIFS(C:C, Calculate_Technical_Metadata___Column[[#This Row],[Data Set Name]], D:D, Calculate_Technical_Metadata___Column[[#This Row],[Column Name]], A:A, Calculate_Technical_Metadata___Column[[#This Row],[System/Data Subject Area Name]], B:B, Calculate_Technical_Metadata___Column[[#This Row],[Schema/Database Name]]) &lt;&gt; 1, 0, 1)</f>
        <v>1</v>
      </c>
      <c r="AD77" s="11">
        <f>IF(ISERROR(FIND("  ",Calculate_Technical_Metadata___Column[[#This Row],[System/Data Subject Area Name]], 1))=TRUE, 1, 0)</f>
        <v>1</v>
      </c>
      <c r="AE77" s="11">
        <f>IF(ISERROR(FIND(" ",Calculate_Technical_Metadata___Column[[#This Row],[Schema/Database Name]], 1))=TRUE, 1, 0)</f>
        <v>1</v>
      </c>
      <c r="AF77" s="11">
        <f>IF(OR(ISERROR(FIND(" ",Calculate_Technical_Metadata___Column[[#This Row],[Data Set Name]], 1))=TRUE, ISERROR(FIND("__",Calculate_Technical_Metadata___Column[[#This Row],[Data Set Name]], 1))=TRUE)=TRUE, 1, 0)</f>
        <v>1</v>
      </c>
      <c r="AG77" s="11">
        <f>IF(ISERROR(FIND(" ",Calculate_Technical_Metadata___Column[[#This Row],[Column Name]], 1))=TRUE, 1, 0)</f>
        <v>1</v>
      </c>
      <c r="AH77" s="11">
        <f>IF(ISERROR(FIND("  ",Calculate_Technical_Metadata___Column[[#This Row],[Updated By]], 1))=TRUE, 1, 0)</f>
        <v>1</v>
      </c>
      <c r="AJ77">
        <f>IF(OR(Calculate_Technical_Metadata___Column[[#This Row],[Data Zone (MDZ/GDZ)]]="GDZ",Calculate_Technical_Metadata___Column[[#This Row],[Data Zone (MDZ/GDZ)]]= "MDZ",Calculate_Technical_Metadata___Column[[#This Row],[Data Zone (MDZ/GDZ)]]= "INVX Data Lake")=TRUE, 1, 0)</f>
        <v>1</v>
      </c>
      <c r="AK77" s="11">
        <f>IF(OR(Calculate_Technical_Metadata___Column[[#This Row],[PII/Non-PII]]="PII",Calculate_Technical_Metadata___Column[[#This Row],[PII/Non-PII]]= "Non-PII")=TRUE, 1, 0)</f>
        <v>1</v>
      </c>
      <c r="AL77" s="11" t="str">
        <f xml:space="preserve"> IF(ISERROR(FIND("(",Calculate_Technical_Metadata___Column[[#This Row],[Type]], 1)) = FALSE, _xlfn.TEXTBEFORE(Calculate_Technical_Metadata___Column[[#This Row],[Type]], "("),Calculate_Technical_Metadata___Column[[#This Row],[Type]])</f>
        <v>string</v>
      </c>
      <c r="AM77" s="11">
        <f>IF(COUNTIF(Type!A:A,Calculate_Technical_Metadata___Column[[#This Row],[Type]]) &gt; 0, 1, 0)</f>
        <v>1</v>
      </c>
      <c r="AN77" s="13">
        <f>IF(OR(Calculate_Technical_Metadata___Column[[#This Row],[Nullable]]="Yes",Calculate_Technical_Metadata___Column[[#This Row],[Nullable]]="No")=TRUE, 1, 0)</f>
        <v>1</v>
      </c>
    </row>
    <row r="78" spans="1:40" x14ac:dyDescent="0.3">
      <c r="A78" s="73" t="s">
        <v>651</v>
      </c>
      <c r="B78" s="73" t="s">
        <v>39</v>
      </c>
      <c r="C78" s="73" t="s">
        <v>651</v>
      </c>
      <c r="D78" s="73" t="s">
        <v>655</v>
      </c>
      <c r="E78" t="s">
        <v>42</v>
      </c>
      <c r="F78" s="73" t="s">
        <v>43</v>
      </c>
      <c r="G78" s="73" t="s">
        <v>45</v>
      </c>
      <c r="H78" s="73" t="s">
        <v>60</v>
      </c>
      <c r="I78" t="s">
        <v>47</v>
      </c>
      <c r="J78" s="73" t="s">
        <v>48</v>
      </c>
      <c r="K78" s="71">
        <v>45503</v>
      </c>
      <c r="L78" s="73" t="s">
        <v>57</v>
      </c>
    </row>
    <row r="79" spans="1:40" x14ac:dyDescent="0.3">
      <c r="A79" s="73" t="s">
        <v>651</v>
      </c>
      <c r="B79" s="73" t="s">
        <v>39</v>
      </c>
      <c r="C79" s="73" t="s">
        <v>651</v>
      </c>
      <c r="D79" s="73" t="s">
        <v>656</v>
      </c>
      <c r="E79" t="s">
        <v>42</v>
      </c>
      <c r="F79" s="73" t="s">
        <v>54</v>
      </c>
      <c r="G79" s="73" t="s">
        <v>45</v>
      </c>
      <c r="H79" s="73" t="s">
        <v>55</v>
      </c>
      <c r="I79" t="s">
        <v>47</v>
      </c>
      <c r="J79" s="73" t="s">
        <v>48</v>
      </c>
      <c r="K79" s="71">
        <v>45503</v>
      </c>
      <c r="L79" s="73" t="s">
        <v>57</v>
      </c>
    </row>
    <row r="80" spans="1:40" x14ac:dyDescent="0.3">
      <c r="A80" s="73" t="s">
        <v>651</v>
      </c>
      <c r="B80" s="73" t="s">
        <v>39</v>
      </c>
      <c r="C80" s="73" t="s">
        <v>651</v>
      </c>
      <c r="D80" s="73" t="s">
        <v>657</v>
      </c>
      <c r="E80" t="s">
        <v>42</v>
      </c>
      <c r="F80" s="73" t="s">
        <v>54</v>
      </c>
      <c r="G80" s="73" t="s">
        <v>45</v>
      </c>
      <c r="H80" s="73" t="s">
        <v>55</v>
      </c>
      <c r="I80" t="s">
        <v>47</v>
      </c>
      <c r="J80" s="73" t="s">
        <v>48</v>
      </c>
      <c r="K80" s="71">
        <v>45503</v>
      </c>
      <c r="L80" s="73" t="s">
        <v>57</v>
      </c>
    </row>
    <row r="81" spans="1:12" x14ac:dyDescent="0.3">
      <c r="A81" s="73" t="s">
        <v>651</v>
      </c>
      <c r="B81" s="73" t="s">
        <v>39</v>
      </c>
      <c r="C81" s="73" t="s">
        <v>651</v>
      </c>
      <c r="D81" s="73" t="s">
        <v>658</v>
      </c>
      <c r="E81" t="s">
        <v>42</v>
      </c>
      <c r="F81" s="73" t="s">
        <v>54</v>
      </c>
      <c r="G81" s="73" t="s">
        <v>45</v>
      </c>
      <c r="H81" s="73" t="s">
        <v>55</v>
      </c>
      <c r="I81" t="s">
        <v>47</v>
      </c>
      <c r="J81" s="73" t="s">
        <v>48</v>
      </c>
      <c r="K81" s="71">
        <v>45503</v>
      </c>
      <c r="L81" s="73" t="s">
        <v>57</v>
      </c>
    </row>
    <row r="82" spans="1:12" x14ac:dyDescent="0.3">
      <c r="A82" s="73" t="s">
        <v>651</v>
      </c>
      <c r="B82" s="73" t="s">
        <v>39</v>
      </c>
      <c r="C82" s="73" t="s">
        <v>651</v>
      </c>
      <c r="D82" s="73" t="s">
        <v>659</v>
      </c>
      <c r="E82" t="s">
        <v>42</v>
      </c>
      <c r="F82" s="73" t="s">
        <v>43</v>
      </c>
      <c r="G82" s="73" t="s">
        <v>45</v>
      </c>
      <c r="H82" s="73" t="s">
        <v>46</v>
      </c>
      <c r="I82" t="s">
        <v>47</v>
      </c>
      <c r="J82" s="73" t="s">
        <v>48</v>
      </c>
      <c r="K82" s="71">
        <v>45503</v>
      </c>
      <c r="L82" s="73" t="s">
        <v>57</v>
      </c>
    </row>
    <row r="83" spans="1:12" x14ac:dyDescent="0.3">
      <c r="A83" s="73" t="s">
        <v>651</v>
      </c>
      <c r="B83" s="73" t="s">
        <v>39</v>
      </c>
      <c r="C83" s="73" t="s">
        <v>651</v>
      </c>
      <c r="D83" s="73" t="s">
        <v>660</v>
      </c>
      <c r="E83" t="s">
        <v>42</v>
      </c>
      <c r="F83" s="73" t="s">
        <v>43</v>
      </c>
      <c r="G83" s="73" t="s">
        <v>45</v>
      </c>
      <c r="H83" s="73" t="s">
        <v>46</v>
      </c>
      <c r="I83" t="s">
        <v>47</v>
      </c>
      <c r="J83" s="73" t="s">
        <v>48</v>
      </c>
      <c r="K83" s="71">
        <v>45503</v>
      </c>
      <c r="L83" s="73" t="s">
        <v>57</v>
      </c>
    </row>
    <row r="84" spans="1:12" x14ac:dyDescent="0.3">
      <c r="A84" s="73" t="s">
        <v>651</v>
      </c>
      <c r="B84" s="73" t="s">
        <v>39</v>
      </c>
      <c r="C84" s="73" t="s">
        <v>651</v>
      </c>
      <c r="D84" s="73" t="s">
        <v>661</v>
      </c>
      <c r="E84" t="s">
        <v>42</v>
      </c>
      <c r="F84" s="73" t="s">
        <v>43</v>
      </c>
      <c r="G84" s="73" t="s">
        <v>346</v>
      </c>
      <c r="H84" s="73" t="s">
        <v>89</v>
      </c>
      <c r="I84" t="s">
        <v>90</v>
      </c>
      <c r="J84" s="73" t="s">
        <v>48</v>
      </c>
      <c r="K84" s="71">
        <v>45503</v>
      </c>
      <c r="L84" s="73" t="s">
        <v>57</v>
      </c>
    </row>
    <row r="85" spans="1:12" x14ac:dyDescent="0.3">
      <c r="A85" s="73" t="s">
        <v>651</v>
      </c>
      <c r="B85" s="73" t="s">
        <v>39</v>
      </c>
      <c r="C85" s="73" t="s">
        <v>651</v>
      </c>
      <c r="D85" s="73" t="s">
        <v>662</v>
      </c>
      <c r="E85" t="s">
        <v>42</v>
      </c>
      <c r="F85" s="73" t="s">
        <v>43</v>
      </c>
      <c r="G85" s="73" t="s">
        <v>346</v>
      </c>
      <c r="H85" s="73" t="s">
        <v>89</v>
      </c>
      <c r="I85" t="s">
        <v>90</v>
      </c>
      <c r="J85" s="73" t="s">
        <v>48</v>
      </c>
      <c r="K85" s="71">
        <v>45503</v>
      </c>
      <c r="L85" s="73" t="s">
        <v>57</v>
      </c>
    </row>
    <row r="86" spans="1:12" x14ac:dyDescent="0.3">
      <c r="A86" s="73" t="s">
        <v>651</v>
      </c>
      <c r="B86" s="73" t="s">
        <v>39</v>
      </c>
      <c r="C86" s="73" t="s">
        <v>651</v>
      </c>
      <c r="D86" s="73" t="s">
        <v>663</v>
      </c>
      <c r="E86" t="s">
        <v>42</v>
      </c>
      <c r="F86" s="73" t="s">
        <v>43</v>
      </c>
      <c r="G86" s="73" t="s">
        <v>346</v>
      </c>
      <c r="H86" s="73" t="s">
        <v>89</v>
      </c>
      <c r="I86" t="s">
        <v>90</v>
      </c>
      <c r="J86" s="73" t="s">
        <v>48</v>
      </c>
      <c r="K86" s="71">
        <v>45503</v>
      </c>
      <c r="L86" s="73" t="s">
        <v>57</v>
      </c>
    </row>
    <row r="87" spans="1:12" x14ac:dyDescent="0.3">
      <c r="A87" s="73" t="s">
        <v>651</v>
      </c>
      <c r="B87" s="73" t="s">
        <v>39</v>
      </c>
      <c r="C87" s="73" t="s">
        <v>651</v>
      </c>
      <c r="D87" s="73" t="s">
        <v>664</v>
      </c>
      <c r="E87" t="s">
        <v>42</v>
      </c>
      <c r="F87" s="73" t="s">
        <v>43</v>
      </c>
      <c r="G87" s="73" t="s">
        <v>346</v>
      </c>
      <c r="H87" s="73" t="s">
        <v>89</v>
      </c>
      <c r="I87" t="s">
        <v>90</v>
      </c>
      <c r="J87" s="73" t="s">
        <v>48</v>
      </c>
      <c r="K87" s="71">
        <v>45503</v>
      </c>
      <c r="L87" s="73" t="s">
        <v>57</v>
      </c>
    </row>
    <row r="88" spans="1:12" x14ac:dyDescent="0.3">
      <c r="A88" s="73" t="s">
        <v>651</v>
      </c>
      <c r="B88" s="73" t="s">
        <v>39</v>
      </c>
      <c r="C88" s="73" t="s">
        <v>651</v>
      </c>
      <c r="D88" s="73" t="s">
        <v>665</v>
      </c>
      <c r="E88" t="s">
        <v>42</v>
      </c>
      <c r="F88" s="73" t="s">
        <v>43</v>
      </c>
      <c r="G88" s="73" t="s">
        <v>45</v>
      </c>
      <c r="H88" s="73" t="s">
        <v>60</v>
      </c>
      <c r="I88" t="s">
        <v>47</v>
      </c>
      <c r="J88" s="73" t="s">
        <v>48</v>
      </c>
      <c r="K88" s="71">
        <v>45503</v>
      </c>
      <c r="L88" s="73" t="s">
        <v>57</v>
      </c>
    </row>
    <row r="89" spans="1:12" x14ac:dyDescent="0.3">
      <c r="A89" s="73" t="s">
        <v>651</v>
      </c>
      <c r="B89" s="73" t="s">
        <v>39</v>
      </c>
      <c r="C89" s="73" t="s">
        <v>651</v>
      </c>
      <c r="D89" s="73" t="s">
        <v>666</v>
      </c>
      <c r="E89" t="s">
        <v>42</v>
      </c>
      <c r="F89" s="73" t="s">
        <v>43</v>
      </c>
      <c r="G89" s="73" t="s">
        <v>346</v>
      </c>
      <c r="H89" s="73" t="s">
        <v>89</v>
      </c>
      <c r="I89" t="s">
        <v>90</v>
      </c>
      <c r="J89" s="73" t="s">
        <v>48</v>
      </c>
      <c r="K89" s="71">
        <v>45503</v>
      </c>
      <c r="L89" s="73" t="s">
        <v>57</v>
      </c>
    </row>
    <row r="90" spans="1:12" x14ac:dyDescent="0.3">
      <c r="A90" s="73" t="s">
        <v>653</v>
      </c>
      <c r="B90" s="73" t="s">
        <v>39</v>
      </c>
      <c r="C90" s="73" t="s">
        <v>653</v>
      </c>
      <c r="D90" s="73" t="s">
        <v>655</v>
      </c>
      <c r="E90" t="s">
        <v>42</v>
      </c>
      <c r="F90" s="73" t="s">
        <v>43</v>
      </c>
      <c r="G90" s="73" t="s">
        <v>45</v>
      </c>
      <c r="H90" s="73" t="s">
        <v>47</v>
      </c>
      <c r="I90" t="s">
        <v>47</v>
      </c>
      <c r="J90" s="73" t="s">
        <v>48</v>
      </c>
      <c r="K90" s="71">
        <v>45503</v>
      </c>
      <c r="L90" s="73" t="s">
        <v>57</v>
      </c>
    </row>
    <row r="91" spans="1:12" x14ac:dyDescent="0.3">
      <c r="A91" s="73" t="s">
        <v>653</v>
      </c>
      <c r="B91" s="73" t="s">
        <v>39</v>
      </c>
      <c r="C91" s="73" t="s">
        <v>653</v>
      </c>
      <c r="D91" s="73" t="s">
        <v>667</v>
      </c>
      <c r="E91" t="s">
        <v>42</v>
      </c>
      <c r="F91" s="73" t="s">
        <v>54</v>
      </c>
      <c r="G91" s="73" t="s">
        <v>45</v>
      </c>
      <c r="H91" s="73" t="s">
        <v>47</v>
      </c>
      <c r="I91" t="s">
        <v>47</v>
      </c>
      <c r="J91" s="73" t="s">
        <v>48</v>
      </c>
      <c r="K91" s="71">
        <v>45503</v>
      </c>
      <c r="L91" s="73" t="s">
        <v>57</v>
      </c>
    </row>
    <row r="92" spans="1:12" x14ac:dyDescent="0.3">
      <c r="A92" s="73" t="s">
        <v>653</v>
      </c>
      <c r="B92" s="73" t="s">
        <v>39</v>
      </c>
      <c r="C92" s="73" t="s">
        <v>653</v>
      </c>
      <c r="D92" s="73" t="s">
        <v>668</v>
      </c>
      <c r="E92" t="s">
        <v>42</v>
      </c>
      <c r="F92" s="73" t="s">
        <v>54</v>
      </c>
      <c r="G92" s="73" t="s">
        <v>45</v>
      </c>
      <c r="H92" s="73" t="s">
        <v>47</v>
      </c>
      <c r="I92" t="s">
        <v>47</v>
      </c>
      <c r="J92" s="73" t="s">
        <v>48</v>
      </c>
      <c r="K92" s="71">
        <v>45503</v>
      </c>
      <c r="L92" s="73" t="s">
        <v>57</v>
      </c>
    </row>
    <row r="93" spans="1:12" x14ac:dyDescent="0.3">
      <c r="A93" s="73" t="s">
        <v>653</v>
      </c>
      <c r="B93" s="73" t="s">
        <v>39</v>
      </c>
      <c r="C93" s="73" t="s">
        <v>653</v>
      </c>
      <c r="D93" s="73" t="s">
        <v>669</v>
      </c>
      <c r="E93" t="s">
        <v>42</v>
      </c>
      <c r="F93" s="73" t="s">
        <v>54</v>
      </c>
      <c r="G93" s="73" t="s">
        <v>45</v>
      </c>
      <c r="H93" s="73" t="s">
        <v>47</v>
      </c>
      <c r="I93" t="s">
        <v>47</v>
      </c>
      <c r="J93" s="73" t="s">
        <v>48</v>
      </c>
      <c r="K93" s="71">
        <v>45503</v>
      </c>
      <c r="L93" s="73" t="s">
        <v>57</v>
      </c>
    </row>
    <row r="94" spans="1:12" x14ac:dyDescent="0.3">
      <c r="A94" s="73" t="s">
        <v>653</v>
      </c>
      <c r="B94" s="73" t="s">
        <v>39</v>
      </c>
      <c r="C94" s="73" t="s">
        <v>653</v>
      </c>
      <c r="D94" s="73" t="s">
        <v>670</v>
      </c>
      <c r="E94" t="s">
        <v>42</v>
      </c>
      <c r="F94" s="73" t="s">
        <v>43</v>
      </c>
      <c r="G94" s="73" t="s">
        <v>45</v>
      </c>
      <c r="H94" s="73" t="s">
        <v>47</v>
      </c>
      <c r="I94" t="s">
        <v>47</v>
      </c>
      <c r="J94" s="73" t="s">
        <v>48</v>
      </c>
      <c r="K94" s="71">
        <v>45503</v>
      </c>
      <c r="L94" s="73" t="s">
        <v>57</v>
      </c>
    </row>
    <row r="95" spans="1:12" x14ac:dyDescent="0.3">
      <c r="A95" s="73" t="s">
        <v>653</v>
      </c>
      <c r="B95" s="73" t="s">
        <v>39</v>
      </c>
      <c r="C95" s="73" t="s">
        <v>653</v>
      </c>
      <c r="D95" s="73" t="s">
        <v>656</v>
      </c>
      <c r="E95" t="s">
        <v>42</v>
      </c>
      <c r="F95" s="73" t="s">
        <v>43</v>
      </c>
      <c r="G95" s="73" t="s">
        <v>45</v>
      </c>
      <c r="H95" s="73" t="s">
        <v>47</v>
      </c>
      <c r="I95" t="s">
        <v>47</v>
      </c>
      <c r="J95" s="73" t="s">
        <v>48</v>
      </c>
      <c r="K95" s="71">
        <v>45503</v>
      </c>
      <c r="L95" s="73" t="s">
        <v>57</v>
      </c>
    </row>
    <row r="96" spans="1:12" x14ac:dyDescent="0.3">
      <c r="A96" s="73" t="s">
        <v>653</v>
      </c>
      <c r="B96" s="73" t="s">
        <v>39</v>
      </c>
      <c r="C96" s="73" t="s">
        <v>653</v>
      </c>
      <c r="D96" s="73" t="s">
        <v>657</v>
      </c>
      <c r="E96" t="s">
        <v>42</v>
      </c>
      <c r="F96" s="73" t="s">
        <v>43</v>
      </c>
      <c r="G96" s="73" t="s">
        <v>45</v>
      </c>
      <c r="H96" s="73" t="s">
        <v>47</v>
      </c>
      <c r="I96" t="s">
        <v>47</v>
      </c>
      <c r="J96" s="73" t="s">
        <v>48</v>
      </c>
      <c r="K96" s="71">
        <v>45503</v>
      </c>
      <c r="L96" s="73" t="s">
        <v>57</v>
      </c>
    </row>
    <row r="97" spans="1:12" x14ac:dyDescent="0.3">
      <c r="A97" s="73" t="s">
        <v>653</v>
      </c>
      <c r="B97" s="73" t="s">
        <v>39</v>
      </c>
      <c r="C97" s="73" t="s">
        <v>653</v>
      </c>
      <c r="D97" s="73" t="s">
        <v>659</v>
      </c>
      <c r="E97" t="s">
        <v>42</v>
      </c>
      <c r="F97" s="73" t="s">
        <v>43</v>
      </c>
      <c r="G97" s="73" t="s">
        <v>45</v>
      </c>
      <c r="H97" s="73" t="s">
        <v>47</v>
      </c>
      <c r="I97" t="s">
        <v>47</v>
      </c>
      <c r="J97" s="73" t="s">
        <v>48</v>
      </c>
      <c r="K97" s="71">
        <v>45503</v>
      </c>
      <c r="L97" s="73" t="s">
        <v>57</v>
      </c>
    </row>
    <row r="98" spans="1:12" x14ac:dyDescent="0.3">
      <c r="A98" s="73" t="s">
        <v>653</v>
      </c>
      <c r="B98" s="73" t="s">
        <v>39</v>
      </c>
      <c r="C98" s="73" t="s">
        <v>653</v>
      </c>
      <c r="D98" s="73" t="s">
        <v>658</v>
      </c>
      <c r="E98" t="s">
        <v>42</v>
      </c>
      <c r="F98" s="73" t="s">
        <v>43</v>
      </c>
      <c r="G98" s="73" t="s">
        <v>45</v>
      </c>
      <c r="H98" s="73" t="s">
        <v>47</v>
      </c>
      <c r="I98" t="s">
        <v>47</v>
      </c>
      <c r="J98" s="73" t="s">
        <v>48</v>
      </c>
      <c r="K98" s="71">
        <v>45503</v>
      </c>
      <c r="L98" s="73" t="s">
        <v>57</v>
      </c>
    </row>
    <row r="99" spans="1:12" x14ac:dyDescent="0.3">
      <c r="A99" s="73" t="s">
        <v>653</v>
      </c>
      <c r="B99" s="73" t="s">
        <v>39</v>
      </c>
      <c r="C99" s="73" t="s">
        <v>653</v>
      </c>
      <c r="D99" s="73" t="s">
        <v>671</v>
      </c>
      <c r="E99" t="s">
        <v>42</v>
      </c>
      <c r="F99" s="73" t="s">
        <v>43</v>
      </c>
      <c r="G99" s="73" t="s">
        <v>45</v>
      </c>
      <c r="H99" s="73" t="s">
        <v>47</v>
      </c>
      <c r="I99" t="s">
        <v>47</v>
      </c>
      <c r="J99" s="73" t="s">
        <v>48</v>
      </c>
      <c r="K99" s="71">
        <v>45503</v>
      </c>
      <c r="L99" s="73" t="s">
        <v>57</v>
      </c>
    </row>
    <row r="100" spans="1:12" x14ac:dyDescent="0.3">
      <c r="A100" s="73" t="s">
        <v>653</v>
      </c>
      <c r="B100" s="73" t="s">
        <v>39</v>
      </c>
      <c r="C100" s="73" t="s">
        <v>653</v>
      </c>
      <c r="D100" s="73" t="s">
        <v>660</v>
      </c>
      <c r="E100" t="s">
        <v>42</v>
      </c>
      <c r="F100" s="73" t="s">
        <v>43</v>
      </c>
      <c r="G100" s="73" t="s">
        <v>45</v>
      </c>
      <c r="H100" s="73" t="s">
        <v>47</v>
      </c>
      <c r="I100" t="s">
        <v>47</v>
      </c>
      <c r="J100" s="73" t="s">
        <v>48</v>
      </c>
      <c r="K100" s="71">
        <v>45503</v>
      </c>
      <c r="L100" s="73" t="s">
        <v>57</v>
      </c>
    </row>
    <row r="101" spans="1:12" x14ac:dyDescent="0.3">
      <c r="A101" s="73" t="s">
        <v>653</v>
      </c>
      <c r="B101" s="73" t="s">
        <v>39</v>
      </c>
      <c r="C101" s="73" t="s">
        <v>653</v>
      </c>
      <c r="D101" s="73" t="s">
        <v>672</v>
      </c>
      <c r="E101" t="s">
        <v>42</v>
      </c>
      <c r="F101" s="73" t="s">
        <v>43</v>
      </c>
      <c r="G101" s="73" t="s">
        <v>45</v>
      </c>
      <c r="H101" s="73" t="s">
        <v>47</v>
      </c>
      <c r="I101" t="s">
        <v>47</v>
      </c>
      <c r="J101" s="73" t="s">
        <v>48</v>
      </c>
      <c r="K101" s="71">
        <v>45503</v>
      </c>
      <c r="L101" s="73" t="s">
        <v>57</v>
      </c>
    </row>
    <row r="102" spans="1:12" x14ac:dyDescent="0.3">
      <c r="A102" s="73" t="s">
        <v>653</v>
      </c>
      <c r="B102" s="73" t="s">
        <v>39</v>
      </c>
      <c r="C102" s="73" t="s">
        <v>653</v>
      </c>
      <c r="D102" s="73" t="s">
        <v>673</v>
      </c>
      <c r="E102" t="s">
        <v>42</v>
      </c>
      <c r="F102" s="73" t="s">
        <v>43</v>
      </c>
      <c r="G102" s="73" t="s">
        <v>45</v>
      </c>
      <c r="H102" s="73" t="s">
        <v>47</v>
      </c>
      <c r="I102" t="s">
        <v>47</v>
      </c>
      <c r="J102" s="73" t="s">
        <v>48</v>
      </c>
      <c r="K102" s="71">
        <v>45503</v>
      </c>
      <c r="L102" s="73" t="s">
        <v>57</v>
      </c>
    </row>
    <row r="103" spans="1:12" x14ac:dyDescent="0.3">
      <c r="A103" s="73" t="s">
        <v>653</v>
      </c>
      <c r="B103" s="73" t="s">
        <v>39</v>
      </c>
      <c r="C103" s="73" t="s">
        <v>653</v>
      </c>
      <c r="D103" s="73" t="s">
        <v>674</v>
      </c>
      <c r="E103" t="s">
        <v>42</v>
      </c>
      <c r="F103" s="73" t="s">
        <v>43</v>
      </c>
      <c r="G103" s="73" t="s">
        <v>45</v>
      </c>
      <c r="H103" s="73" t="s">
        <v>47</v>
      </c>
      <c r="I103" t="s">
        <v>47</v>
      </c>
      <c r="J103" s="73" t="s">
        <v>48</v>
      </c>
      <c r="K103" s="71">
        <v>45503</v>
      </c>
      <c r="L103" s="73" t="s">
        <v>57</v>
      </c>
    </row>
    <row r="104" spans="1:12" x14ac:dyDescent="0.3">
      <c r="A104" s="73" t="s">
        <v>653</v>
      </c>
      <c r="B104" s="73" t="s">
        <v>39</v>
      </c>
      <c r="C104" s="73" t="s">
        <v>653</v>
      </c>
      <c r="D104" s="73" t="s">
        <v>675</v>
      </c>
      <c r="E104" t="s">
        <v>42</v>
      </c>
      <c r="F104" s="73" t="s">
        <v>43</v>
      </c>
      <c r="G104" s="73" t="s">
        <v>346</v>
      </c>
      <c r="H104" s="73" t="s">
        <v>89</v>
      </c>
      <c r="I104" t="s">
        <v>90</v>
      </c>
      <c r="J104" s="73" t="s">
        <v>52</v>
      </c>
      <c r="K104" s="71">
        <v>45503</v>
      </c>
      <c r="L104" s="73" t="s">
        <v>57</v>
      </c>
    </row>
    <row r="105" spans="1:12" x14ac:dyDescent="0.3">
      <c r="A105" s="73" t="s">
        <v>653</v>
      </c>
      <c r="B105" s="73" t="s">
        <v>39</v>
      </c>
      <c r="C105" s="73" t="s">
        <v>653</v>
      </c>
      <c r="D105" s="73" t="s">
        <v>676</v>
      </c>
      <c r="E105" t="s">
        <v>42</v>
      </c>
      <c r="F105" s="73" t="s">
        <v>43</v>
      </c>
      <c r="G105" s="73" t="s">
        <v>346</v>
      </c>
      <c r="H105" s="73" t="s">
        <v>89</v>
      </c>
      <c r="I105" t="s">
        <v>90</v>
      </c>
      <c r="J105" s="73" t="s">
        <v>52</v>
      </c>
      <c r="K105" s="71">
        <v>45503</v>
      </c>
      <c r="L105" s="73" t="s">
        <v>57</v>
      </c>
    </row>
    <row r="106" spans="1:12" x14ac:dyDescent="0.3">
      <c r="A106" s="73" t="s">
        <v>653</v>
      </c>
      <c r="B106" s="73" t="s">
        <v>39</v>
      </c>
      <c r="C106" s="73" t="s">
        <v>653</v>
      </c>
      <c r="D106" s="73" t="s">
        <v>677</v>
      </c>
      <c r="E106" t="s">
        <v>42</v>
      </c>
      <c r="F106" s="73" t="s">
        <v>43</v>
      </c>
      <c r="G106" s="73" t="s">
        <v>45</v>
      </c>
      <c r="H106" s="73" t="s">
        <v>47</v>
      </c>
      <c r="I106" t="s">
        <v>47</v>
      </c>
      <c r="J106" s="73" t="s">
        <v>48</v>
      </c>
      <c r="K106" s="71">
        <v>45503</v>
      </c>
      <c r="L106" s="73" t="s">
        <v>57</v>
      </c>
    </row>
    <row r="107" spans="1:12" x14ac:dyDescent="0.3">
      <c r="A107" s="73" t="s">
        <v>653</v>
      </c>
      <c r="B107" s="73" t="s">
        <v>39</v>
      </c>
      <c r="C107" s="73" t="s">
        <v>653</v>
      </c>
      <c r="D107" s="73" t="s">
        <v>678</v>
      </c>
      <c r="E107" t="s">
        <v>42</v>
      </c>
      <c r="F107" s="73" t="s">
        <v>43</v>
      </c>
      <c r="G107" s="73" t="s">
        <v>45</v>
      </c>
      <c r="H107" s="73" t="s">
        <v>47</v>
      </c>
      <c r="I107" t="s">
        <v>47</v>
      </c>
      <c r="J107" s="73" t="s">
        <v>48</v>
      </c>
      <c r="K107" s="71">
        <v>45503</v>
      </c>
      <c r="L107" s="73" t="s">
        <v>57</v>
      </c>
    </row>
    <row r="108" spans="1:12" x14ac:dyDescent="0.3">
      <c r="A108" s="73" t="s">
        <v>653</v>
      </c>
      <c r="B108" s="73" t="s">
        <v>39</v>
      </c>
      <c r="C108" s="73" t="s">
        <v>653</v>
      </c>
      <c r="D108" s="73" t="s">
        <v>679</v>
      </c>
      <c r="E108" t="s">
        <v>42</v>
      </c>
      <c r="F108" s="73" t="s">
        <v>43</v>
      </c>
      <c r="G108" s="73" t="s">
        <v>45</v>
      </c>
      <c r="H108" s="73" t="s">
        <v>47</v>
      </c>
      <c r="I108" t="s">
        <v>47</v>
      </c>
      <c r="J108" s="73" t="s">
        <v>48</v>
      </c>
      <c r="K108" s="71">
        <v>45503</v>
      </c>
      <c r="L108" s="73" t="s">
        <v>57</v>
      </c>
    </row>
    <row r="109" spans="1:12" x14ac:dyDescent="0.3">
      <c r="A109" s="73" t="s">
        <v>653</v>
      </c>
      <c r="B109" s="73" t="s">
        <v>39</v>
      </c>
      <c r="C109" s="73" t="s">
        <v>653</v>
      </c>
      <c r="D109" s="73" t="s">
        <v>680</v>
      </c>
      <c r="E109" t="s">
        <v>42</v>
      </c>
      <c r="F109" s="73" t="s">
        <v>43</v>
      </c>
      <c r="G109" s="73" t="s">
        <v>45</v>
      </c>
      <c r="H109" s="73" t="s">
        <v>47</v>
      </c>
      <c r="I109" t="s">
        <v>47</v>
      </c>
      <c r="J109" s="73" t="s">
        <v>48</v>
      </c>
      <c r="K109" s="71">
        <v>45503</v>
      </c>
      <c r="L109" s="73" t="s">
        <v>57</v>
      </c>
    </row>
    <row r="110" spans="1:12" x14ac:dyDescent="0.3">
      <c r="A110" s="73" t="s">
        <v>653</v>
      </c>
      <c r="B110" s="73" t="s">
        <v>39</v>
      </c>
      <c r="C110" s="73" t="s">
        <v>653</v>
      </c>
      <c r="D110" s="73" t="s">
        <v>681</v>
      </c>
      <c r="E110" t="s">
        <v>42</v>
      </c>
      <c r="F110" s="73" t="s">
        <v>54</v>
      </c>
      <c r="G110" s="73" t="s">
        <v>45</v>
      </c>
      <c r="H110" s="73" t="s">
        <v>47</v>
      </c>
      <c r="I110" t="s">
        <v>47</v>
      </c>
      <c r="J110" s="73" t="s">
        <v>48</v>
      </c>
      <c r="K110" s="71">
        <v>45503</v>
      </c>
      <c r="L110" s="73" t="s">
        <v>57</v>
      </c>
    </row>
    <row r="111" spans="1:12" x14ac:dyDescent="0.3">
      <c r="A111" s="73" t="s">
        <v>653</v>
      </c>
      <c r="B111" s="73" t="s">
        <v>39</v>
      </c>
      <c r="C111" s="73" t="s">
        <v>653</v>
      </c>
      <c r="D111" s="73" t="s">
        <v>682</v>
      </c>
      <c r="E111" t="s">
        <v>42</v>
      </c>
      <c r="F111" s="73" t="s">
        <v>43</v>
      </c>
      <c r="G111" s="73" t="s">
        <v>45</v>
      </c>
      <c r="H111" s="73" t="s">
        <v>47</v>
      </c>
      <c r="I111" t="s">
        <v>47</v>
      </c>
      <c r="J111" s="73" t="s">
        <v>48</v>
      </c>
      <c r="K111" s="71">
        <v>45503</v>
      </c>
      <c r="L111" s="73" t="s">
        <v>57</v>
      </c>
    </row>
    <row r="112" spans="1:12" x14ac:dyDescent="0.3">
      <c r="A112" s="73" t="s">
        <v>653</v>
      </c>
      <c r="B112" s="73" t="s">
        <v>39</v>
      </c>
      <c r="C112" s="73" t="s">
        <v>653</v>
      </c>
      <c r="D112" s="73" t="s">
        <v>683</v>
      </c>
      <c r="E112" t="s">
        <v>42</v>
      </c>
      <c r="F112" s="73" t="s">
        <v>43</v>
      </c>
      <c r="G112" s="73" t="s">
        <v>45</v>
      </c>
      <c r="H112" s="73" t="s">
        <v>47</v>
      </c>
      <c r="I112" t="s">
        <v>47</v>
      </c>
      <c r="J112" s="73" t="s">
        <v>52</v>
      </c>
      <c r="K112" s="71">
        <v>45503</v>
      </c>
      <c r="L112" s="73" t="s">
        <v>57</v>
      </c>
    </row>
    <row r="113" spans="1:12" x14ac:dyDescent="0.3">
      <c r="A113" s="73" t="s">
        <v>653</v>
      </c>
      <c r="B113" s="73" t="s">
        <v>39</v>
      </c>
      <c r="C113" s="73" t="s">
        <v>653</v>
      </c>
      <c r="D113" s="73" t="s">
        <v>684</v>
      </c>
      <c r="E113" t="s">
        <v>42</v>
      </c>
      <c r="F113" s="73" t="s">
        <v>43</v>
      </c>
      <c r="G113" s="73" t="s">
        <v>45</v>
      </c>
      <c r="H113" s="73" t="s">
        <v>47</v>
      </c>
      <c r="I113" t="s">
        <v>47</v>
      </c>
      <c r="J113" s="73" t="s">
        <v>48</v>
      </c>
      <c r="K113" s="71">
        <v>45503</v>
      </c>
      <c r="L113" s="73" t="s">
        <v>57</v>
      </c>
    </row>
    <row r="114" spans="1:12" x14ac:dyDescent="0.3">
      <c r="A114" s="73" t="s">
        <v>653</v>
      </c>
      <c r="B114" s="73" t="s">
        <v>39</v>
      </c>
      <c r="C114" s="73" t="s">
        <v>653</v>
      </c>
      <c r="D114" s="73" t="s">
        <v>685</v>
      </c>
      <c r="E114" t="s">
        <v>42</v>
      </c>
      <c r="F114" s="73" t="s">
        <v>43</v>
      </c>
      <c r="G114" s="73" t="s">
        <v>45</v>
      </c>
      <c r="H114" s="73" t="s">
        <v>47</v>
      </c>
      <c r="I114" t="s">
        <v>47</v>
      </c>
      <c r="J114" s="73" t="s">
        <v>52</v>
      </c>
      <c r="K114" s="71">
        <v>45503</v>
      </c>
      <c r="L114" s="73" t="s">
        <v>57</v>
      </c>
    </row>
    <row r="115" spans="1:12" x14ac:dyDescent="0.3">
      <c r="A115" s="73" t="s">
        <v>653</v>
      </c>
      <c r="B115" s="73" t="s">
        <v>39</v>
      </c>
      <c r="C115" s="73" t="s">
        <v>653</v>
      </c>
      <c r="D115" s="73" t="s">
        <v>686</v>
      </c>
      <c r="E115" t="s">
        <v>42</v>
      </c>
      <c r="F115" s="73" t="s">
        <v>43</v>
      </c>
      <c r="G115" s="73" t="s">
        <v>45</v>
      </c>
      <c r="H115" s="73" t="s">
        <v>47</v>
      </c>
      <c r="I115" t="s">
        <v>47</v>
      </c>
      <c r="J115" s="73" t="s">
        <v>52</v>
      </c>
      <c r="K115" s="71">
        <v>45503</v>
      </c>
      <c r="L115" s="73" t="s">
        <v>57</v>
      </c>
    </row>
    <row r="116" spans="1:12" x14ac:dyDescent="0.3">
      <c r="A116" s="73" t="s">
        <v>653</v>
      </c>
      <c r="B116" s="73" t="s">
        <v>39</v>
      </c>
      <c r="C116" s="73" t="s">
        <v>653</v>
      </c>
      <c r="D116" s="73" t="s">
        <v>687</v>
      </c>
      <c r="E116" t="s">
        <v>42</v>
      </c>
      <c r="F116" s="73" t="s">
        <v>43</v>
      </c>
      <c r="G116" s="73" t="s">
        <v>45</v>
      </c>
      <c r="H116" s="73" t="s">
        <v>47</v>
      </c>
      <c r="I116" t="s">
        <v>47</v>
      </c>
      <c r="J116" s="73" t="s">
        <v>52</v>
      </c>
      <c r="K116" s="71">
        <v>45503</v>
      </c>
      <c r="L116" s="73" t="s">
        <v>57</v>
      </c>
    </row>
    <row r="117" spans="1:12" x14ac:dyDescent="0.3">
      <c r="A117" s="73" t="s">
        <v>653</v>
      </c>
      <c r="B117" s="73" t="s">
        <v>39</v>
      </c>
      <c r="C117" s="73" t="s">
        <v>653</v>
      </c>
      <c r="D117" s="73" t="s">
        <v>688</v>
      </c>
      <c r="E117" t="s">
        <v>42</v>
      </c>
      <c r="F117" s="73" t="s">
        <v>43</v>
      </c>
      <c r="G117" s="73" t="s">
        <v>45</v>
      </c>
      <c r="H117" s="73" t="s">
        <v>47</v>
      </c>
      <c r="I117" t="s">
        <v>47</v>
      </c>
      <c r="J117" s="73" t="s">
        <v>48</v>
      </c>
      <c r="K117" s="71">
        <v>45503</v>
      </c>
      <c r="L117" s="73" t="s">
        <v>57</v>
      </c>
    </row>
    <row r="118" spans="1:12" x14ac:dyDescent="0.3">
      <c r="A118" s="73" t="s">
        <v>653</v>
      </c>
      <c r="B118" s="73" t="s">
        <v>39</v>
      </c>
      <c r="C118" s="73" t="s">
        <v>653</v>
      </c>
      <c r="D118" s="73" t="s">
        <v>689</v>
      </c>
      <c r="E118" t="s">
        <v>42</v>
      </c>
      <c r="F118" s="73" t="s">
        <v>43</v>
      </c>
      <c r="G118" s="73" t="s">
        <v>45</v>
      </c>
      <c r="H118" s="73" t="s">
        <v>47</v>
      </c>
      <c r="I118" t="s">
        <v>47</v>
      </c>
      <c r="J118" s="73" t="s">
        <v>48</v>
      </c>
      <c r="K118" s="71">
        <v>45503</v>
      </c>
      <c r="L118" s="73" t="s">
        <v>57</v>
      </c>
    </row>
    <row r="119" spans="1:12" x14ac:dyDescent="0.3">
      <c r="A119" s="73" t="s">
        <v>653</v>
      </c>
      <c r="B119" s="73" t="s">
        <v>39</v>
      </c>
      <c r="C119" s="73" t="s">
        <v>653</v>
      </c>
      <c r="D119" s="73" t="s">
        <v>690</v>
      </c>
      <c r="E119" t="s">
        <v>42</v>
      </c>
      <c r="F119" s="73" t="s">
        <v>43</v>
      </c>
      <c r="G119" s="73" t="s">
        <v>45</v>
      </c>
      <c r="H119" s="73" t="s">
        <v>47</v>
      </c>
      <c r="I119" t="s">
        <v>47</v>
      </c>
      <c r="J119" s="73" t="s">
        <v>48</v>
      </c>
      <c r="K119" s="71">
        <v>45503</v>
      </c>
      <c r="L119" s="73" t="s">
        <v>57</v>
      </c>
    </row>
    <row r="120" spans="1:12" x14ac:dyDescent="0.3">
      <c r="A120" s="73" t="s">
        <v>653</v>
      </c>
      <c r="B120" s="73" t="s">
        <v>39</v>
      </c>
      <c r="C120" s="73" t="s">
        <v>653</v>
      </c>
      <c r="D120" s="73" t="s">
        <v>691</v>
      </c>
      <c r="E120" t="s">
        <v>42</v>
      </c>
      <c r="F120" s="73" t="s">
        <v>43</v>
      </c>
      <c r="G120" s="73" t="s">
        <v>45</v>
      </c>
      <c r="H120" s="73" t="s">
        <v>47</v>
      </c>
      <c r="I120" t="s">
        <v>47</v>
      </c>
      <c r="J120" s="73" t="s">
        <v>48</v>
      </c>
      <c r="K120" s="71">
        <v>45503</v>
      </c>
      <c r="L120" s="73" t="s">
        <v>57</v>
      </c>
    </row>
    <row r="121" spans="1:12" x14ac:dyDescent="0.3">
      <c r="A121" s="73" t="s">
        <v>653</v>
      </c>
      <c r="B121" s="73" t="s">
        <v>39</v>
      </c>
      <c r="C121" s="73" t="s">
        <v>653</v>
      </c>
      <c r="D121" s="73" t="s">
        <v>692</v>
      </c>
      <c r="E121" t="s">
        <v>42</v>
      </c>
      <c r="F121" s="73" t="s">
        <v>43</v>
      </c>
      <c r="G121" s="73" t="s">
        <v>45</v>
      </c>
      <c r="H121" s="73" t="s">
        <v>47</v>
      </c>
      <c r="I121" t="s">
        <v>47</v>
      </c>
      <c r="J121" s="73" t="s">
        <v>48</v>
      </c>
      <c r="K121" s="71">
        <v>45503</v>
      </c>
      <c r="L121" s="73" t="s">
        <v>57</v>
      </c>
    </row>
    <row r="122" spans="1:12" x14ac:dyDescent="0.3">
      <c r="A122" s="73" t="s">
        <v>653</v>
      </c>
      <c r="B122" s="73" t="s">
        <v>39</v>
      </c>
      <c r="C122" s="73" t="s">
        <v>653</v>
      </c>
      <c r="D122" s="73" t="s">
        <v>693</v>
      </c>
      <c r="E122" t="s">
        <v>42</v>
      </c>
      <c r="F122" s="73" t="s">
        <v>43</v>
      </c>
      <c r="G122" s="73" t="s">
        <v>45</v>
      </c>
      <c r="H122" s="73" t="s">
        <v>47</v>
      </c>
      <c r="I122" t="s">
        <v>47</v>
      </c>
      <c r="J122" s="73" t="s">
        <v>48</v>
      </c>
      <c r="K122" s="71">
        <v>45503</v>
      </c>
      <c r="L122" s="73" t="s">
        <v>57</v>
      </c>
    </row>
    <row r="123" spans="1:12" x14ac:dyDescent="0.3">
      <c r="A123" s="73" t="s">
        <v>653</v>
      </c>
      <c r="B123" s="73" t="s">
        <v>39</v>
      </c>
      <c r="C123" s="73" t="s">
        <v>653</v>
      </c>
      <c r="D123" s="73" t="s">
        <v>694</v>
      </c>
      <c r="E123" t="s">
        <v>42</v>
      </c>
      <c r="F123" s="73" t="s">
        <v>43</v>
      </c>
      <c r="G123" s="73" t="s">
        <v>45</v>
      </c>
      <c r="H123" s="73" t="s">
        <v>47</v>
      </c>
      <c r="I123" t="s">
        <v>47</v>
      </c>
      <c r="J123" s="73" t="s">
        <v>48</v>
      </c>
      <c r="K123" s="71">
        <v>45503</v>
      </c>
      <c r="L123" s="73" t="s">
        <v>57</v>
      </c>
    </row>
    <row r="124" spans="1:12" x14ac:dyDescent="0.3">
      <c r="A124" s="73" t="s">
        <v>653</v>
      </c>
      <c r="B124" s="73" t="s">
        <v>39</v>
      </c>
      <c r="C124" s="73" t="s">
        <v>653</v>
      </c>
      <c r="D124" s="73" t="s">
        <v>695</v>
      </c>
      <c r="E124" t="s">
        <v>42</v>
      </c>
      <c r="F124" s="73" t="s">
        <v>43</v>
      </c>
      <c r="G124" s="73" t="s">
        <v>45</v>
      </c>
      <c r="H124" s="73" t="s">
        <v>47</v>
      </c>
      <c r="I124" t="s">
        <v>47</v>
      </c>
      <c r="J124" s="73" t="s">
        <v>48</v>
      </c>
      <c r="K124" s="71">
        <v>45503</v>
      </c>
      <c r="L124" s="73" t="s">
        <v>57</v>
      </c>
    </row>
    <row r="125" spans="1:12" x14ac:dyDescent="0.3">
      <c r="A125" s="73" t="s">
        <v>653</v>
      </c>
      <c r="B125" s="73" t="s">
        <v>39</v>
      </c>
      <c r="C125" s="73" t="s">
        <v>653</v>
      </c>
      <c r="D125" s="73" t="s">
        <v>696</v>
      </c>
      <c r="E125" t="s">
        <v>42</v>
      </c>
      <c r="F125" s="73" t="s">
        <v>43</v>
      </c>
      <c r="G125" s="73" t="s">
        <v>45</v>
      </c>
      <c r="H125" s="73" t="s">
        <v>47</v>
      </c>
      <c r="I125" t="s">
        <v>47</v>
      </c>
      <c r="J125" s="73" t="s">
        <v>48</v>
      </c>
      <c r="K125" s="71">
        <v>45503</v>
      </c>
      <c r="L125" s="73" t="s">
        <v>57</v>
      </c>
    </row>
    <row r="126" spans="1:12" x14ac:dyDescent="0.3">
      <c r="A126" s="73" t="s">
        <v>653</v>
      </c>
      <c r="B126" s="73" t="s">
        <v>39</v>
      </c>
      <c r="C126" s="73" t="s">
        <v>653</v>
      </c>
      <c r="D126" s="73" t="s">
        <v>697</v>
      </c>
      <c r="E126" t="s">
        <v>42</v>
      </c>
      <c r="F126" s="73" t="s">
        <v>43</v>
      </c>
      <c r="G126" s="73" t="s">
        <v>45</v>
      </c>
      <c r="H126" s="73" t="s">
        <v>47</v>
      </c>
      <c r="I126" t="s">
        <v>47</v>
      </c>
      <c r="J126" s="73" t="s">
        <v>48</v>
      </c>
      <c r="K126" s="71">
        <v>45503</v>
      </c>
      <c r="L126" s="73" t="s">
        <v>57</v>
      </c>
    </row>
    <row r="127" spans="1:12" x14ac:dyDescent="0.3">
      <c r="A127" s="73" t="s">
        <v>653</v>
      </c>
      <c r="B127" s="73" t="s">
        <v>39</v>
      </c>
      <c r="C127" s="73" t="s">
        <v>653</v>
      </c>
      <c r="D127" s="73" t="s">
        <v>698</v>
      </c>
      <c r="E127" t="s">
        <v>42</v>
      </c>
      <c r="F127" s="73" t="s">
        <v>43</v>
      </c>
      <c r="G127" s="73" t="s">
        <v>45</v>
      </c>
      <c r="H127" s="73" t="s">
        <v>47</v>
      </c>
      <c r="I127" t="s">
        <v>47</v>
      </c>
      <c r="J127" s="73" t="s">
        <v>48</v>
      </c>
      <c r="K127" s="71">
        <v>45503</v>
      </c>
      <c r="L127" s="73" t="s">
        <v>57</v>
      </c>
    </row>
    <row r="128" spans="1:12" x14ac:dyDescent="0.3">
      <c r="A128" s="73" t="s">
        <v>653</v>
      </c>
      <c r="B128" s="73" t="s">
        <v>39</v>
      </c>
      <c r="C128" s="73" t="s">
        <v>653</v>
      </c>
      <c r="D128" s="73" t="s">
        <v>699</v>
      </c>
      <c r="E128" t="s">
        <v>42</v>
      </c>
      <c r="F128" s="73" t="s">
        <v>43</v>
      </c>
      <c r="G128" s="73" t="s">
        <v>45</v>
      </c>
      <c r="H128" s="73" t="s">
        <v>47</v>
      </c>
      <c r="I128" t="s">
        <v>47</v>
      </c>
      <c r="J128" s="73" t="s">
        <v>52</v>
      </c>
      <c r="K128" s="71">
        <v>45503</v>
      </c>
      <c r="L128" s="73" t="s">
        <v>57</v>
      </c>
    </row>
    <row r="129" spans="1:12" x14ac:dyDescent="0.3">
      <c r="A129" s="73" t="s">
        <v>653</v>
      </c>
      <c r="B129" s="73" t="s">
        <v>39</v>
      </c>
      <c r="C129" s="73" t="s">
        <v>653</v>
      </c>
      <c r="D129" s="73" t="s">
        <v>700</v>
      </c>
      <c r="E129" t="s">
        <v>42</v>
      </c>
      <c r="F129" s="73" t="s">
        <v>43</v>
      </c>
      <c r="G129" s="73" t="s">
        <v>346</v>
      </c>
      <c r="H129" s="73" t="s">
        <v>89</v>
      </c>
      <c r="I129" t="s">
        <v>90</v>
      </c>
      <c r="J129" s="73" t="s">
        <v>52</v>
      </c>
      <c r="K129" s="71">
        <v>45503</v>
      </c>
      <c r="L129" s="73" t="s">
        <v>57</v>
      </c>
    </row>
    <row r="130" spans="1:12" x14ac:dyDescent="0.3">
      <c r="A130" s="73" t="s">
        <v>653</v>
      </c>
      <c r="B130" s="73" t="s">
        <v>39</v>
      </c>
      <c r="C130" s="73" t="s">
        <v>653</v>
      </c>
      <c r="D130" s="73" t="s">
        <v>701</v>
      </c>
      <c r="E130" t="s">
        <v>42</v>
      </c>
      <c r="F130" s="73" t="s">
        <v>43</v>
      </c>
      <c r="G130" s="73" t="s">
        <v>346</v>
      </c>
      <c r="H130" s="73" t="s">
        <v>89</v>
      </c>
      <c r="I130" t="s">
        <v>90</v>
      </c>
      <c r="J130" s="73" t="s">
        <v>52</v>
      </c>
      <c r="K130" s="71">
        <v>45503</v>
      </c>
      <c r="L130" s="73" t="s">
        <v>57</v>
      </c>
    </row>
    <row r="131" spans="1:12" x14ac:dyDescent="0.3">
      <c r="A131" s="73" t="s">
        <v>653</v>
      </c>
      <c r="B131" s="73" t="s">
        <v>39</v>
      </c>
      <c r="C131" s="73" t="s">
        <v>653</v>
      </c>
      <c r="D131" s="73" t="s">
        <v>702</v>
      </c>
      <c r="E131" t="s">
        <v>42</v>
      </c>
      <c r="F131" s="73" t="s">
        <v>43</v>
      </c>
      <c r="G131" s="73" t="s">
        <v>346</v>
      </c>
      <c r="H131" s="73" t="s">
        <v>89</v>
      </c>
      <c r="I131" t="s">
        <v>90</v>
      </c>
      <c r="J131" s="73" t="s">
        <v>52</v>
      </c>
      <c r="K131" s="71">
        <v>45503</v>
      </c>
      <c r="L131" s="73" t="s">
        <v>57</v>
      </c>
    </row>
    <row r="132" spans="1:12" x14ac:dyDescent="0.3">
      <c r="A132" s="73" t="s">
        <v>653</v>
      </c>
      <c r="B132" s="73" t="s">
        <v>39</v>
      </c>
      <c r="C132" s="73" t="s">
        <v>653</v>
      </c>
      <c r="D132" s="73" t="s">
        <v>703</v>
      </c>
      <c r="E132" t="s">
        <v>42</v>
      </c>
      <c r="F132" s="73" t="s">
        <v>43</v>
      </c>
      <c r="G132" s="73" t="s">
        <v>346</v>
      </c>
      <c r="H132" s="73" t="s">
        <v>89</v>
      </c>
      <c r="I132" t="s">
        <v>90</v>
      </c>
      <c r="J132" s="73" t="s">
        <v>52</v>
      </c>
      <c r="K132" s="71">
        <v>45503</v>
      </c>
      <c r="L132" s="73" t="s">
        <v>57</v>
      </c>
    </row>
    <row r="133" spans="1:12" x14ac:dyDescent="0.3">
      <c r="A133" s="73" t="s">
        <v>653</v>
      </c>
      <c r="B133" s="73" t="s">
        <v>39</v>
      </c>
      <c r="C133" s="73" t="s">
        <v>653</v>
      </c>
      <c r="D133" s="73" t="s">
        <v>704</v>
      </c>
      <c r="E133" t="s">
        <v>42</v>
      </c>
      <c r="F133" s="73" t="s">
        <v>43</v>
      </c>
      <c r="G133" s="73" t="s">
        <v>346</v>
      </c>
      <c r="H133" s="73" t="s">
        <v>89</v>
      </c>
      <c r="I133" t="s">
        <v>90</v>
      </c>
      <c r="J133" s="73" t="s">
        <v>52</v>
      </c>
      <c r="K133" s="71">
        <v>45503</v>
      </c>
      <c r="L133" s="73" t="s">
        <v>57</v>
      </c>
    </row>
    <row r="134" spans="1:12" x14ac:dyDescent="0.3">
      <c r="A134" s="73" t="s">
        <v>653</v>
      </c>
      <c r="B134" s="73" t="s">
        <v>39</v>
      </c>
      <c r="C134" s="73" t="s">
        <v>653</v>
      </c>
      <c r="D134" s="73" t="s">
        <v>705</v>
      </c>
      <c r="E134" t="s">
        <v>42</v>
      </c>
      <c r="F134" s="73" t="s">
        <v>43</v>
      </c>
      <c r="G134" s="73" t="s">
        <v>346</v>
      </c>
      <c r="H134" s="73" t="s">
        <v>89</v>
      </c>
      <c r="I134" t="s">
        <v>90</v>
      </c>
      <c r="J134" s="73" t="s">
        <v>52</v>
      </c>
      <c r="K134" s="71">
        <v>45503</v>
      </c>
      <c r="L134" s="73" t="s">
        <v>57</v>
      </c>
    </row>
    <row r="135" spans="1:12" x14ac:dyDescent="0.3">
      <c r="A135" s="73" t="s">
        <v>653</v>
      </c>
      <c r="B135" s="73" t="s">
        <v>39</v>
      </c>
      <c r="C135" s="73" t="s">
        <v>653</v>
      </c>
      <c r="D135" s="73" t="s">
        <v>706</v>
      </c>
      <c r="E135" t="s">
        <v>42</v>
      </c>
      <c r="F135" s="73" t="s">
        <v>43</v>
      </c>
      <c r="G135" s="73" t="s">
        <v>346</v>
      </c>
      <c r="H135" s="73" t="s">
        <v>89</v>
      </c>
      <c r="I135" t="s">
        <v>90</v>
      </c>
      <c r="J135" s="73" t="s">
        <v>52</v>
      </c>
      <c r="K135" s="71">
        <v>45503</v>
      </c>
      <c r="L135" s="73" t="s">
        <v>57</v>
      </c>
    </row>
    <row r="136" spans="1:12" x14ac:dyDescent="0.3">
      <c r="A136" s="73" t="s">
        <v>653</v>
      </c>
      <c r="B136" s="73" t="s">
        <v>39</v>
      </c>
      <c r="C136" s="73" t="s">
        <v>653</v>
      </c>
      <c r="D136" s="73" t="s">
        <v>707</v>
      </c>
      <c r="E136" t="s">
        <v>42</v>
      </c>
      <c r="F136" s="73" t="s">
        <v>43</v>
      </c>
      <c r="G136" s="73" t="s">
        <v>346</v>
      </c>
      <c r="H136" s="73" t="s">
        <v>89</v>
      </c>
      <c r="I136" t="s">
        <v>90</v>
      </c>
      <c r="J136" s="73" t="s">
        <v>52</v>
      </c>
      <c r="K136" s="71">
        <v>45503</v>
      </c>
      <c r="L136" s="73" t="s">
        <v>57</v>
      </c>
    </row>
    <row r="137" spans="1:12" x14ac:dyDescent="0.3">
      <c r="A137" s="73" t="s">
        <v>653</v>
      </c>
      <c r="B137" s="73" t="s">
        <v>39</v>
      </c>
      <c r="C137" s="73" t="s">
        <v>653</v>
      </c>
      <c r="D137" s="73" t="s">
        <v>708</v>
      </c>
      <c r="E137" t="s">
        <v>42</v>
      </c>
      <c r="F137" s="73" t="s">
        <v>43</v>
      </c>
      <c r="G137" s="73" t="s">
        <v>45</v>
      </c>
      <c r="H137" s="73" t="s">
        <v>47</v>
      </c>
      <c r="I137" t="s">
        <v>47</v>
      </c>
      <c r="J137" s="73" t="s">
        <v>52</v>
      </c>
      <c r="K137" s="71">
        <v>45503</v>
      </c>
      <c r="L137" s="73" t="s">
        <v>57</v>
      </c>
    </row>
    <row r="138" spans="1:12" x14ac:dyDescent="0.3">
      <c r="A138" s="73" t="s">
        <v>653</v>
      </c>
      <c r="B138" s="73" t="s">
        <v>39</v>
      </c>
      <c r="C138" s="73" t="s">
        <v>653</v>
      </c>
      <c r="D138" s="73" t="s">
        <v>709</v>
      </c>
      <c r="E138" t="s">
        <v>42</v>
      </c>
      <c r="F138" s="73" t="s">
        <v>43</v>
      </c>
      <c r="G138" s="73" t="s">
        <v>45</v>
      </c>
      <c r="H138" s="73" t="s">
        <v>47</v>
      </c>
      <c r="I138" t="s">
        <v>47</v>
      </c>
      <c r="J138" s="73" t="s">
        <v>48</v>
      </c>
      <c r="K138" s="71">
        <v>45503</v>
      </c>
      <c r="L138" s="73" t="s">
        <v>57</v>
      </c>
    </row>
    <row r="139" spans="1:12" x14ac:dyDescent="0.3">
      <c r="A139" s="73" t="s">
        <v>653</v>
      </c>
      <c r="B139" s="73" t="s">
        <v>39</v>
      </c>
      <c r="C139" s="73" t="s">
        <v>653</v>
      </c>
      <c r="D139" s="73" t="s">
        <v>710</v>
      </c>
      <c r="E139" t="s">
        <v>42</v>
      </c>
      <c r="F139" s="73" t="s">
        <v>43</v>
      </c>
      <c r="G139" s="73" t="s">
        <v>45</v>
      </c>
      <c r="H139" s="73" t="s">
        <v>47</v>
      </c>
      <c r="I139" t="s">
        <v>47</v>
      </c>
      <c r="J139" s="73" t="s">
        <v>48</v>
      </c>
      <c r="K139" s="71">
        <v>45503</v>
      </c>
      <c r="L139" s="73" t="s">
        <v>57</v>
      </c>
    </row>
    <row r="140" spans="1:12" x14ac:dyDescent="0.3">
      <c r="A140" s="73" t="s">
        <v>653</v>
      </c>
      <c r="B140" s="73" t="s">
        <v>39</v>
      </c>
      <c r="C140" s="73" t="s">
        <v>653</v>
      </c>
      <c r="D140" s="73" t="s">
        <v>711</v>
      </c>
      <c r="E140" t="s">
        <v>42</v>
      </c>
      <c r="F140" s="73" t="s">
        <v>43</v>
      </c>
      <c r="G140" s="73" t="s">
        <v>45</v>
      </c>
      <c r="H140" s="73" t="s">
        <v>47</v>
      </c>
      <c r="I140" t="s">
        <v>47</v>
      </c>
      <c r="J140" s="73" t="s">
        <v>48</v>
      </c>
      <c r="K140" s="71">
        <v>45503</v>
      </c>
      <c r="L140" s="73" t="s">
        <v>57</v>
      </c>
    </row>
    <row r="141" spans="1:12" x14ac:dyDescent="0.3">
      <c r="A141" s="73" t="s">
        <v>653</v>
      </c>
      <c r="B141" s="73" t="s">
        <v>39</v>
      </c>
      <c r="C141" s="73" t="s">
        <v>653</v>
      </c>
      <c r="D141" s="73" t="s">
        <v>712</v>
      </c>
      <c r="E141" t="s">
        <v>42</v>
      </c>
      <c r="F141" s="73" t="s">
        <v>54</v>
      </c>
      <c r="G141" s="73" t="s">
        <v>45</v>
      </c>
      <c r="H141" s="73" t="s">
        <v>47</v>
      </c>
      <c r="I141" t="s">
        <v>47</v>
      </c>
      <c r="J141" s="73" t="s">
        <v>48</v>
      </c>
      <c r="K141" s="71">
        <v>45503</v>
      </c>
      <c r="L141" s="73" t="s">
        <v>57</v>
      </c>
    </row>
    <row r="142" spans="1:12" x14ac:dyDescent="0.3">
      <c r="A142" s="73" t="s">
        <v>653</v>
      </c>
      <c r="B142" s="73" t="s">
        <v>39</v>
      </c>
      <c r="C142" s="73" t="s">
        <v>653</v>
      </c>
      <c r="D142" s="73" t="s">
        <v>713</v>
      </c>
      <c r="E142" t="s">
        <v>42</v>
      </c>
      <c r="F142" s="73" t="s">
        <v>43</v>
      </c>
      <c r="G142" s="73" t="s">
        <v>45</v>
      </c>
      <c r="H142" s="73" t="s">
        <v>47</v>
      </c>
      <c r="I142" t="s">
        <v>47</v>
      </c>
      <c r="J142" s="73" t="s">
        <v>48</v>
      </c>
      <c r="K142" s="71">
        <v>45503</v>
      </c>
      <c r="L142" s="73" t="s">
        <v>57</v>
      </c>
    </row>
    <row r="143" spans="1:12" x14ac:dyDescent="0.3">
      <c r="A143" s="73" t="s">
        <v>653</v>
      </c>
      <c r="B143" s="73" t="s">
        <v>39</v>
      </c>
      <c r="C143" s="73" t="s">
        <v>653</v>
      </c>
      <c r="D143" s="73" t="s">
        <v>714</v>
      </c>
      <c r="E143" t="s">
        <v>42</v>
      </c>
      <c r="F143" s="73" t="s">
        <v>43</v>
      </c>
      <c r="G143" s="73" t="s">
        <v>45</v>
      </c>
      <c r="H143" s="73" t="s">
        <v>47</v>
      </c>
      <c r="I143" t="s">
        <v>47</v>
      </c>
      <c r="J143" s="73" t="s">
        <v>48</v>
      </c>
      <c r="K143" s="71">
        <v>45503</v>
      </c>
      <c r="L143" s="73" t="s">
        <v>57</v>
      </c>
    </row>
    <row r="144" spans="1:12" x14ac:dyDescent="0.3">
      <c r="A144" s="73" t="s">
        <v>653</v>
      </c>
      <c r="B144" s="73" t="s">
        <v>39</v>
      </c>
      <c r="C144" s="73" t="s">
        <v>653</v>
      </c>
      <c r="D144" s="73" t="s">
        <v>715</v>
      </c>
      <c r="E144" t="s">
        <v>42</v>
      </c>
      <c r="F144" s="73" t="s">
        <v>43</v>
      </c>
      <c r="G144" s="73" t="s">
        <v>45</v>
      </c>
      <c r="H144" s="73" t="s">
        <v>47</v>
      </c>
      <c r="I144" t="s">
        <v>47</v>
      </c>
      <c r="J144" s="73" t="s">
        <v>48</v>
      </c>
      <c r="K144" s="71">
        <v>45503</v>
      </c>
      <c r="L144" s="73" t="s">
        <v>57</v>
      </c>
    </row>
    <row r="145" spans="1:12" x14ac:dyDescent="0.3">
      <c r="A145" s="73" t="s">
        <v>653</v>
      </c>
      <c r="B145" s="73" t="s">
        <v>39</v>
      </c>
      <c r="C145" s="73" t="s">
        <v>653</v>
      </c>
      <c r="D145" s="73" t="s">
        <v>716</v>
      </c>
      <c r="E145" t="s">
        <v>42</v>
      </c>
      <c r="F145" s="73" t="s">
        <v>43</v>
      </c>
      <c r="G145" s="73" t="s">
        <v>45</v>
      </c>
      <c r="H145" s="73" t="s">
        <v>47</v>
      </c>
      <c r="I145" t="s">
        <v>47</v>
      </c>
      <c r="J145" s="73" t="s">
        <v>48</v>
      </c>
      <c r="K145" s="71">
        <v>45503</v>
      </c>
      <c r="L145" s="73" t="s">
        <v>57</v>
      </c>
    </row>
    <row r="146" spans="1:12" x14ac:dyDescent="0.3">
      <c r="A146" s="73" t="s">
        <v>653</v>
      </c>
      <c r="B146" s="73" t="s">
        <v>39</v>
      </c>
      <c r="C146" s="73" t="s">
        <v>653</v>
      </c>
      <c r="D146" s="73" t="s">
        <v>717</v>
      </c>
      <c r="E146" t="s">
        <v>42</v>
      </c>
      <c r="F146" s="73" t="s">
        <v>43</v>
      </c>
      <c r="G146" s="73" t="s">
        <v>45</v>
      </c>
      <c r="H146" s="73" t="s">
        <v>47</v>
      </c>
      <c r="I146" t="s">
        <v>47</v>
      </c>
      <c r="J146" s="73" t="s">
        <v>48</v>
      </c>
      <c r="K146" s="71">
        <v>45503</v>
      </c>
      <c r="L146" s="73" t="s">
        <v>57</v>
      </c>
    </row>
    <row r="147" spans="1:12" x14ac:dyDescent="0.3">
      <c r="A147" s="73" t="s">
        <v>653</v>
      </c>
      <c r="B147" s="73" t="s">
        <v>39</v>
      </c>
      <c r="C147" s="73" t="s">
        <v>653</v>
      </c>
      <c r="D147" s="73" t="s">
        <v>718</v>
      </c>
      <c r="E147" t="s">
        <v>42</v>
      </c>
      <c r="F147" s="73" t="s">
        <v>43</v>
      </c>
      <c r="G147" s="73" t="s">
        <v>346</v>
      </c>
      <c r="H147" s="73" t="s">
        <v>89</v>
      </c>
      <c r="I147" t="s">
        <v>90</v>
      </c>
      <c r="J147" s="73" t="s">
        <v>52</v>
      </c>
      <c r="K147" s="71">
        <v>45503</v>
      </c>
      <c r="L147" s="73" t="s">
        <v>57</v>
      </c>
    </row>
    <row r="148" spans="1:12" x14ac:dyDescent="0.3">
      <c r="A148" s="73" t="s">
        <v>653</v>
      </c>
      <c r="B148" s="73" t="s">
        <v>39</v>
      </c>
      <c r="C148" s="73" t="s">
        <v>653</v>
      </c>
      <c r="D148" s="73" t="s">
        <v>719</v>
      </c>
      <c r="E148" t="s">
        <v>42</v>
      </c>
      <c r="F148" s="73" t="s">
        <v>43</v>
      </c>
      <c r="G148" s="73" t="s">
        <v>45</v>
      </c>
      <c r="H148" s="73" t="s">
        <v>47</v>
      </c>
      <c r="I148" t="s">
        <v>47</v>
      </c>
      <c r="J148" s="73" t="s">
        <v>48</v>
      </c>
      <c r="K148" s="71">
        <v>45503</v>
      </c>
      <c r="L148" s="73" t="s">
        <v>57</v>
      </c>
    </row>
    <row r="149" spans="1:12" x14ac:dyDescent="0.3">
      <c r="A149" s="73" t="s">
        <v>653</v>
      </c>
      <c r="B149" s="73" t="s">
        <v>39</v>
      </c>
      <c r="C149" s="73" t="s">
        <v>653</v>
      </c>
      <c r="D149" s="73" t="s">
        <v>665</v>
      </c>
      <c r="E149" t="s">
        <v>42</v>
      </c>
      <c r="F149" s="73" t="s">
        <v>43</v>
      </c>
      <c r="G149" s="73" t="s">
        <v>45</v>
      </c>
      <c r="H149" s="73" t="s">
        <v>47</v>
      </c>
      <c r="I149" t="s">
        <v>47</v>
      </c>
      <c r="J149" s="73" t="s">
        <v>52</v>
      </c>
      <c r="K149" s="71">
        <v>45503</v>
      </c>
      <c r="L149" s="73" t="s">
        <v>57</v>
      </c>
    </row>
    <row r="150" spans="1:12" x14ac:dyDescent="0.3">
      <c r="A150" s="73" t="s">
        <v>653</v>
      </c>
      <c r="B150" s="73" t="s">
        <v>39</v>
      </c>
      <c r="C150" s="73" t="s">
        <v>653</v>
      </c>
      <c r="D150" s="73" t="s">
        <v>720</v>
      </c>
      <c r="E150" t="s">
        <v>42</v>
      </c>
      <c r="F150" s="73" t="s">
        <v>43</v>
      </c>
      <c r="G150" s="73" t="s">
        <v>45</v>
      </c>
      <c r="H150" s="73" t="s">
        <v>47</v>
      </c>
      <c r="I150" t="s">
        <v>47</v>
      </c>
      <c r="J150" s="73" t="s">
        <v>48</v>
      </c>
      <c r="K150" s="71">
        <v>45503</v>
      </c>
      <c r="L150" s="73" t="s">
        <v>57</v>
      </c>
    </row>
    <row r="151" spans="1:12" x14ac:dyDescent="0.3">
      <c r="A151" s="73" t="s">
        <v>653</v>
      </c>
      <c r="B151" s="73" t="s">
        <v>39</v>
      </c>
      <c r="C151" s="73" t="s">
        <v>653</v>
      </c>
      <c r="D151" s="73" t="s">
        <v>721</v>
      </c>
      <c r="E151" t="s">
        <v>42</v>
      </c>
      <c r="F151" s="73" t="s">
        <v>43</v>
      </c>
      <c r="G151" s="73" t="s">
        <v>45</v>
      </c>
      <c r="H151" s="73" t="s">
        <v>47</v>
      </c>
      <c r="I151" t="s">
        <v>47</v>
      </c>
      <c r="J151" s="73" t="s">
        <v>48</v>
      </c>
      <c r="K151" s="71">
        <v>45503</v>
      </c>
      <c r="L151" s="73" t="s">
        <v>57</v>
      </c>
    </row>
    <row r="152" spans="1:12" x14ac:dyDescent="0.3">
      <c r="A152" s="73" t="s">
        <v>653</v>
      </c>
      <c r="B152" s="73" t="s">
        <v>39</v>
      </c>
      <c r="C152" s="73" t="s">
        <v>653</v>
      </c>
      <c r="D152" s="73" t="s">
        <v>722</v>
      </c>
      <c r="E152" t="s">
        <v>42</v>
      </c>
      <c r="F152" s="73" t="s">
        <v>43</v>
      </c>
      <c r="G152" s="73" t="s">
        <v>45</v>
      </c>
      <c r="H152" s="73" t="s">
        <v>47</v>
      </c>
      <c r="I152" t="s">
        <v>47</v>
      </c>
      <c r="J152" s="73" t="s">
        <v>52</v>
      </c>
      <c r="K152" s="71">
        <v>45503</v>
      </c>
      <c r="L152" s="73" t="s">
        <v>57</v>
      </c>
    </row>
    <row r="153" spans="1:12" x14ac:dyDescent="0.3">
      <c r="A153" s="73" t="s">
        <v>653</v>
      </c>
      <c r="B153" s="73" t="s">
        <v>39</v>
      </c>
      <c r="C153" s="73" t="s">
        <v>653</v>
      </c>
      <c r="D153" s="73" t="s">
        <v>723</v>
      </c>
      <c r="E153" t="s">
        <v>42</v>
      </c>
      <c r="F153" s="73" t="s">
        <v>43</v>
      </c>
      <c r="G153" s="73" t="s">
        <v>45</v>
      </c>
      <c r="H153" s="73" t="s">
        <v>47</v>
      </c>
      <c r="I153" t="s">
        <v>47</v>
      </c>
      <c r="J153" s="73" t="s">
        <v>52</v>
      </c>
      <c r="K153" s="71">
        <v>45503</v>
      </c>
      <c r="L153" s="73" t="s">
        <v>57</v>
      </c>
    </row>
    <row r="154" spans="1:12" x14ac:dyDescent="0.3">
      <c r="A154" s="73" t="s">
        <v>653</v>
      </c>
      <c r="B154" s="73" t="s">
        <v>39</v>
      </c>
      <c r="C154" s="73" t="s">
        <v>653</v>
      </c>
      <c r="D154" s="73" t="s">
        <v>724</v>
      </c>
      <c r="E154" t="s">
        <v>42</v>
      </c>
      <c r="F154" s="73" t="s">
        <v>43</v>
      </c>
      <c r="G154" s="73" t="s">
        <v>45</v>
      </c>
      <c r="H154" s="73" t="s">
        <v>47</v>
      </c>
      <c r="I154" t="s">
        <v>47</v>
      </c>
      <c r="J154" s="73" t="s">
        <v>52</v>
      </c>
      <c r="K154" s="71">
        <v>45503</v>
      </c>
      <c r="L154" s="73" t="s">
        <v>57</v>
      </c>
    </row>
    <row r="155" spans="1:12" x14ac:dyDescent="0.3">
      <c r="A155" s="73" t="s">
        <v>653</v>
      </c>
      <c r="B155" s="73" t="s">
        <v>39</v>
      </c>
      <c r="C155" s="73" t="s">
        <v>653</v>
      </c>
      <c r="D155" s="73" t="s">
        <v>725</v>
      </c>
      <c r="E155" t="s">
        <v>42</v>
      </c>
      <c r="F155" s="73" t="s">
        <v>43</v>
      </c>
      <c r="G155" s="73" t="s">
        <v>45</v>
      </c>
      <c r="H155" s="73" t="s">
        <v>47</v>
      </c>
      <c r="I155" t="s">
        <v>47</v>
      </c>
      <c r="J155" s="73" t="s">
        <v>52</v>
      </c>
      <c r="K155" s="71">
        <v>45503</v>
      </c>
      <c r="L155" s="73" t="s">
        <v>57</v>
      </c>
    </row>
  </sheetData>
  <phoneticPr fontId="20" type="noConversion"/>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A9AA9D-A379-4C11-A75C-ABAC713497FE}">
  <dimension ref="A1:A5"/>
  <sheetViews>
    <sheetView workbookViewId="0"/>
  </sheetViews>
  <sheetFormatPr defaultRowHeight="14" x14ac:dyDescent="0.3"/>
  <sheetData>
    <row r="1" spans="1:1" x14ac:dyDescent="0.3">
      <c r="A1" t="s">
        <v>347</v>
      </c>
    </row>
    <row r="2" spans="1:1" x14ac:dyDescent="0.3">
      <c r="A2" t="s">
        <v>101</v>
      </c>
    </row>
    <row r="3" spans="1:1" x14ac:dyDescent="0.3">
      <c r="A3" t="s">
        <v>348</v>
      </c>
    </row>
    <row r="4" spans="1:1" x14ac:dyDescent="0.3">
      <c r="A4" t="s">
        <v>349</v>
      </c>
    </row>
    <row r="5" spans="1:1" x14ac:dyDescent="0.3">
      <c r="A5" t="s">
        <v>350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7EB8D6-0526-47A3-82FA-AAF433857524}">
  <dimension ref="A1:A97"/>
  <sheetViews>
    <sheetView topLeftCell="A46" workbookViewId="0">
      <selection activeCell="B33" sqref="B33"/>
    </sheetView>
  </sheetViews>
  <sheetFormatPr defaultRowHeight="14" x14ac:dyDescent="0.3"/>
  <cols>
    <col min="1" max="1" width="23.75" bestFit="1" customWidth="1"/>
  </cols>
  <sheetData>
    <row r="1" spans="1:1" x14ac:dyDescent="0.3">
      <c r="A1" s="14" t="s">
        <v>31</v>
      </c>
    </row>
    <row r="2" spans="1:1" x14ac:dyDescent="0.3">
      <c r="A2" t="s">
        <v>351</v>
      </c>
    </row>
    <row r="3" spans="1:1" x14ac:dyDescent="0.3">
      <c r="A3" t="s">
        <v>352</v>
      </c>
    </row>
    <row r="4" spans="1:1" x14ac:dyDescent="0.3">
      <c r="A4" t="s">
        <v>353</v>
      </c>
    </row>
    <row r="5" spans="1:1" x14ac:dyDescent="0.3">
      <c r="A5" t="s">
        <v>354</v>
      </c>
    </row>
    <row r="6" spans="1:1" x14ac:dyDescent="0.3">
      <c r="A6" t="s">
        <v>355</v>
      </c>
    </row>
    <row r="7" spans="1:1" x14ac:dyDescent="0.3">
      <c r="A7" t="s">
        <v>356</v>
      </c>
    </row>
    <row r="8" spans="1:1" x14ac:dyDescent="0.3">
      <c r="A8" t="s">
        <v>357</v>
      </c>
    </row>
    <row r="9" spans="1:1" x14ac:dyDescent="0.3">
      <c r="A9" t="s">
        <v>358</v>
      </c>
    </row>
    <row r="10" spans="1:1" x14ac:dyDescent="0.3">
      <c r="A10" t="s">
        <v>359</v>
      </c>
    </row>
    <row r="11" spans="1:1" x14ac:dyDescent="0.3">
      <c r="A11" t="s">
        <v>360</v>
      </c>
    </row>
    <row r="12" spans="1:1" x14ac:dyDescent="0.3">
      <c r="A12" t="s">
        <v>361</v>
      </c>
    </row>
    <row r="13" spans="1:1" x14ac:dyDescent="0.3">
      <c r="A13" t="s">
        <v>362</v>
      </c>
    </row>
    <row r="14" spans="1:1" x14ac:dyDescent="0.3">
      <c r="A14" t="s">
        <v>363</v>
      </c>
    </row>
    <row r="15" spans="1:1" x14ac:dyDescent="0.3">
      <c r="A15" t="s">
        <v>364</v>
      </c>
    </row>
    <row r="16" spans="1:1" x14ac:dyDescent="0.3">
      <c r="A16" t="s">
        <v>365</v>
      </c>
    </row>
    <row r="17" spans="1:1" x14ac:dyDescent="0.3">
      <c r="A17" t="s">
        <v>366</v>
      </c>
    </row>
    <row r="18" spans="1:1" x14ac:dyDescent="0.3">
      <c r="A18" t="s">
        <v>367</v>
      </c>
    </row>
    <row r="19" spans="1:1" x14ac:dyDescent="0.3">
      <c r="A19" t="s">
        <v>368</v>
      </c>
    </row>
    <row r="20" spans="1:1" x14ac:dyDescent="0.3">
      <c r="A20" t="s">
        <v>369</v>
      </c>
    </row>
    <row r="21" spans="1:1" x14ac:dyDescent="0.3">
      <c r="A21" t="s">
        <v>370</v>
      </c>
    </row>
    <row r="22" spans="1:1" x14ac:dyDescent="0.3">
      <c r="A22" t="s">
        <v>371</v>
      </c>
    </row>
    <row r="23" spans="1:1" x14ac:dyDescent="0.3">
      <c r="A23" t="s">
        <v>372</v>
      </c>
    </row>
    <row r="24" spans="1:1" x14ac:dyDescent="0.3">
      <c r="A24" t="s">
        <v>373</v>
      </c>
    </row>
    <row r="25" spans="1:1" x14ac:dyDescent="0.3">
      <c r="A25" t="s">
        <v>374</v>
      </c>
    </row>
    <row r="26" spans="1:1" x14ac:dyDescent="0.3">
      <c r="A26" t="s">
        <v>375</v>
      </c>
    </row>
    <row r="27" spans="1:1" x14ac:dyDescent="0.3">
      <c r="A27" t="s">
        <v>375</v>
      </c>
    </row>
    <row r="28" spans="1:1" x14ac:dyDescent="0.3">
      <c r="A28" t="s">
        <v>376</v>
      </c>
    </row>
    <row r="29" spans="1:1" x14ac:dyDescent="0.3">
      <c r="A29" t="s">
        <v>377</v>
      </c>
    </row>
    <row r="30" spans="1:1" x14ac:dyDescent="0.3">
      <c r="A30" t="s">
        <v>378</v>
      </c>
    </row>
    <row r="31" spans="1:1" x14ac:dyDescent="0.3">
      <c r="A31" t="s">
        <v>379</v>
      </c>
    </row>
    <row r="32" spans="1:1" x14ac:dyDescent="0.3">
      <c r="A32" t="s">
        <v>380</v>
      </c>
    </row>
    <row r="33" spans="1:1" x14ac:dyDescent="0.3">
      <c r="A33" t="s">
        <v>365</v>
      </c>
    </row>
    <row r="34" spans="1:1" x14ac:dyDescent="0.3">
      <c r="A34" t="s">
        <v>381</v>
      </c>
    </row>
    <row r="35" spans="1:1" x14ac:dyDescent="0.3">
      <c r="A35" t="s">
        <v>382</v>
      </c>
    </row>
    <row r="36" spans="1:1" x14ac:dyDescent="0.3">
      <c r="A36" t="s">
        <v>383</v>
      </c>
    </row>
    <row r="37" spans="1:1" x14ac:dyDescent="0.3">
      <c r="A37" t="s">
        <v>384</v>
      </c>
    </row>
    <row r="38" spans="1:1" x14ac:dyDescent="0.3">
      <c r="A38" t="s">
        <v>385</v>
      </c>
    </row>
    <row r="39" spans="1:1" x14ac:dyDescent="0.3">
      <c r="A39" t="s">
        <v>386</v>
      </c>
    </row>
    <row r="40" spans="1:1" x14ac:dyDescent="0.3">
      <c r="A40" t="s">
        <v>365</v>
      </c>
    </row>
    <row r="41" spans="1:1" x14ac:dyDescent="0.3">
      <c r="A41" t="s">
        <v>387</v>
      </c>
    </row>
    <row r="42" spans="1:1" x14ac:dyDescent="0.3">
      <c r="A42" t="s">
        <v>388</v>
      </c>
    </row>
    <row r="43" spans="1:1" x14ac:dyDescent="0.3">
      <c r="A43" t="s">
        <v>388</v>
      </c>
    </row>
    <row r="44" spans="1:1" x14ac:dyDescent="0.3">
      <c r="A44" t="s">
        <v>389</v>
      </c>
    </row>
    <row r="45" spans="1:1" x14ac:dyDescent="0.3">
      <c r="A45" t="s">
        <v>390</v>
      </c>
    </row>
    <row r="46" spans="1:1" x14ac:dyDescent="0.3">
      <c r="A46" t="s">
        <v>391</v>
      </c>
    </row>
    <row r="47" spans="1:1" x14ac:dyDescent="0.3">
      <c r="A47" t="s">
        <v>391</v>
      </c>
    </row>
    <row r="48" spans="1:1" x14ac:dyDescent="0.3">
      <c r="A48" t="s">
        <v>392</v>
      </c>
    </row>
    <row r="49" spans="1:1" x14ac:dyDescent="0.3">
      <c r="A49" t="s">
        <v>393</v>
      </c>
    </row>
    <row r="50" spans="1:1" x14ac:dyDescent="0.3">
      <c r="A50" t="s">
        <v>394</v>
      </c>
    </row>
    <row r="51" spans="1:1" x14ac:dyDescent="0.3">
      <c r="A51" t="s">
        <v>394</v>
      </c>
    </row>
    <row r="52" spans="1:1" x14ac:dyDescent="0.3">
      <c r="A52" t="s">
        <v>395</v>
      </c>
    </row>
    <row r="53" spans="1:1" x14ac:dyDescent="0.3">
      <c r="A53" t="s">
        <v>365</v>
      </c>
    </row>
    <row r="54" spans="1:1" x14ac:dyDescent="0.3">
      <c r="A54" t="s">
        <v>396</v>
      </c>
    </row>
    <row r="55" spans="1:1" x14ac:dyDescent="0.3">
      <c r="A55" t="s">
        <v>397</v>
      </c>
    </row>
    <row r="56" spans="1:1" x14ac:dyDescent="0.3">
      <c r="A56" t="s">
        <v>398</v>
      </c>
    </row>
    <row r="57" spans="1:1" x14ac:dyDescent="0.3">
      <c r="A57" t="s">
        <v>399</v>
      </c>
    </row>
    <row r="58" spans="1:1" x14ac:dyDescent="0.3">
      <c r="A58" t="s">
        <v>400</v>
      </c>
    </row>
    <row r="59" spans="1:1" x14ac:dyDescent="0.3">
      <c r="A59" t="s">
        <v>346</v>
      </c>
    </row>
    <row r="60" spans="1:1" x14ac:dyDescent="0.3">
      <c r="A60" t="s">
        <v>401</v>
      </c>
    </row>
    <row r="61" spans="1:1" x14ac:dyDescent="0.3">
      <c r="A61" t="s">
        <v>402</v>
      </c>
    </row>
    <row r="62" spans="1:1" x14ac:dyDescent="0.3">
      <c r="A62" t="s">
        <v>403</v>
      </c>
    </row>
    <row r="63" spans="1:1" x14ac:dyDescent="0.3">
      <c r="A63" t="s">
        <v>404</v>
      </c>
    </row>
    <row r="64" spans="1:1" x14ac:dyDescent="0.3">
      <c r="A64" t="s">
        <v>405</v>
      </c>
    </row>
    <row r="65" spans="1:1" x14ac:dyDescent="0.3">
      <c r="A65" t="s">
        <v>380</v>
      </c>
    </row>
    <row r="66" spans="1:1" x14ac:dyDescent="0.3">
      <c r="A66" t="s">
        <v>365</v>
      </c>
    </row>
    <row r="67" spans="1:1" x14ac:dyDescent="0.3">
      <c r="A67" t="s">
        <v>406</v>
      </c>
    </row>
    <row r="68" spans="1:1" x14ac:dyDescent="0.3">
      <c r="A68" t="s">
        <v>407</v>
      </c>
    </row>
    <row r="69" spans="1:1" x14ac:dyDescent="0.3">
      <c r="A69" t="s">
        <v>408</v>
      </c>
    </row>
    <row r="70" spans="1:1" x14ac:dyDescent="0.3">
      <c r="A70" t="s">
        <v>409</v>
      </c>
    </row>
    <row r="71" spans="1:1" x14ac:dyDescent="0.3">
      <c r="A71" t="s">
        <v>410</v>
      </c>
    </row>
    <row r="72" spans="1:1" x14ac:dyDescent="0.3">
      <c r="A72" t="s">
        <v>411</v>
      </c>
    </row>
    <row r="73" spans="1:1" x14ac:dyDescent="0.3">
      <c r="A73" t="s">
        <v>412</v>
      </c>
    </row>
    <row r="74" spans="1:1" x14ac:dyDescent="0.3">
      <c r="A74" t="s">
        <v>413</v>
      </c>
    </row>
    <row r="75" spans="1:1" x14ac:dyDescent="0.3">
      <c r="A75" t="s">
        <v>365</v>
      </c>
    </row>
    <row r="76" spans="1:1" x14ac:dyDescent="0.3">
      <c r="A76" t="s">
        <v>414</v>
      </c>
    </row>
    <row r="77" spans="1:1" x14ac:dyDescent="0.3">
      <c r="A77" t="s">
        <v>415</v>
      </c>
    </row>
    <row r="78" spans="1:1" x14ac:dyDescent="0.3">
      <c r="A78" t="s">
        <v>416</v>
      </c>
    </row>
    <row r="79" spans="1:1" x14ac:dyDescent="0.3">
      <c r="A79" t="s">
        <v>417</v>
      </c>
    </row>
    <row r="80" spans="1:1" x14ac:dyDescent="0.3">
      <c r="A80" t="s">
        <v>418</v>
      </c>
    </row>
    <row r="81" spans="1:1" x14ac:dyDescent="0.3">
      <c r="A81" t="s">
        <v>365</v>
      </c>
    </row>
    <row r="82" spans="1:1" x14ac:dyDescent="0.3">
      <c r="A82" t="s">
        <v>419</v>
      </c>
    </row>
    <row r="83" spans="1:1" x14ac:dyDescent="0.3">
      <c r="A83" t="s">
        <v>420</v>
      </c>
    </row>
    <row r="84" spans="1:1" x14ac:dyDescent="0.3">
      <c r="A84" t="s">
        <v>421</v>
      </c>
    </row>
    <row r="85" spans="1:1" x14ac:dyDescent="0.3">
      <c r="A85" t="s">
        <v>422</v>
      </c>
    </row>
    <row r="86" spans="1:1" x14ac:dyDescent="0.3">
      <c r="A86" t="s">
        <v>423</v>
      </c>
    </row>
    <row r="87" spans="1:1" x14ac:dyDescent="0.3">
      <c r="A87" t="s">
        <v>424</v>
      </c>
    </row>
    <row r="88" spans="1:1" x14ac:dyDescent="0.3">
      <c r="A88" t="s">
        <v>425</v>
      </c>
    </row>
    <row r="89" spans="1:1" x14ac:dyDescent="0.3">
      <c r="A89" t="s">
        <v>426</v>
      </c>
    </row>
    <row r="90" spans="1:1" x14ac:dyDescent="0.3">
      <c r="A90" t="s">
        <v>427</v>
      </c>
    </row>
    <row r="91" spans="1:1" x14ac:dyDescent="0.3">
      <c r="A91" t="s">
        <v>428</v>
      </c>
    </row>
    <row r="92" spans="1:1" x14ac:dyDescent="0.3">
      <c r="A92" t="s">
        <v>429</v>
      </c>
    </row>
    <row r="93" spans="1:1" x14ac:dyDescent="0.3">
      <c r="A93" t="s">
        <v>430</v>
      </c>
    </row>
    <row r="94" spans="1:1" x14ac:dyDescent="0.3">
      <c r="A94" t="s">
        <v>431</v>
      </c>
    </row>
    <row r="95" spans="1:1" x14ac:dyDescent="0.3">
      <c r="A95" t="s">
        <v>432</v>
      </c>
    </row>
    <row r="96" spans="1:1" x14ac:dyDescent="0.3">
      <c r="A96" t="s">
        <v>433</v>
      </c>
    </row>
    <row r="97" spans="1:1" x14ac:dyDescent="0.3">
      <c r="A97" t="s">
        <v>434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E18F43-0BAA-4CAE-BA8D-8CDA7568032D}">
  <sheetPr>
    <tabColor rgb="FFC00000"/>
  </sheetPr>
  <dimension ref="A1:W6"/>
  <sheetViews>
    <sheetView zoomScale="85" zoomScaleNormal="85" workbookViewId="0">
      <selection activeCell="C47" sqref="C47"/>
    </sheetView>
  </sheetViews>
  <sheetFormatPr defaultRowHeight="14" x14ac:dyDescent="0.3"/>
  <cols>
    <col min="1" max="3" width="19.5" bestFit="1" customWidth="1"/>
    <col min="4" max="4" width="16.1640625" bestFit="1" customWidth="1"/>
    <col min="5" max="5" width="14.08203125" bestFit="1" customWidth="1"/>
    <col min="6" max="6" width="13.58203125" customWidth="1"/>
    <col min="7" max="7" width="20.75" customWidth="1"/>
    <col min="8" max="8" width="22" customWidth="1"/>
    <col min="9" max="9" width="14.58203125" customWidth="1"/>
    <col min="10" max="10" width="10.83203125" customWidth="1"/>
    <col min="11" max="11" width="16.33203125" customWidth="1"/>
    <col min="12" max="12" width="11.75" customWidth="1"/>
    <col min="13" max="16" width="12.83203125" customWidth="1"/>
    <col min="17" max="17" width="12.83203125" bestFit="1" customWidth="1"/>
    <col min="18" max="18" width="34.25" bestFit="1" customWidth="1"/>
    <col min="19" max="19" width="13.58203125" customWidth="1"/>
    <col min="21" max="21" width="18.08203125" customWidth="1"/>
    <col min="22" max="22" width="15" customWidth="1"/>
    <col min="23" max="23" width="17.5" customWidth="1"/>
    <col min="24" max="24" width="19.08203125" customWidth="1"/>
    <col min="25" max="25" width="20.58203125" customWidth="1"/>
    <col min="26" max="26" width="19.58203125" customWidth="1"/>
    <col min="28" max="28" width="16.58203125" customWidth="1"/>
    <col min="29" max="29" width="19.75" customWidth="1"/>
    <col min="30" max="30" width="18.75" customWidth="1"/>
    <col min="32" max="32" width="14.33203125" customWidth="1"/>
    <col min="33" max="33" width="21.5" customWidth="1"/>
    <col min="34" max="34" width="21.83203125" customWidth="1"/>
    <col min="36" max="36" width="8.75" bestFit="1" customWidth="1"/>
    <col min="38" max="38" width="8.5" bestFit="1" customWidth="1"/>
  </cols>
  <sheetData>
    <row r="1" spans="1:23" ht="50" x14ac:dyDescent="0.3">
      <c r="A1" t="s">
        <v>26</v>
      </c>
      <c r="B1" t="s">
        <v>97</v>
      </c>
      <c r="C1" t="s">
        <v>98</v>
      </c>
      <c r="D1" t="s">
        <v>99</v>
      </c>
      <c r="E1" t="s">
        <v>36</v>
      </c>
      <c r="G1" s="3" t="s">
        <v>435</v>
      </c>
      <c r="H1" s="3" t="s">
        <v>436</v>
      </c>
      <c r="I1" s="3" t="s">
        <v>437</v>
      </c>
      <c r="J1" s="3" t="s">
        <v>438</v>
      </c>
      <c r="K1" s="3" t="s">
        <v>439</v>
      </c>
      <c r="L1" s="55"/>
      <c r="M1" s="56" t="s">
        <v>440</v>
      </c>
      <c r="N1" s="56" t="s">
        <v>441</v>
      </c>
      <c r="O1" s="56" t="s">
        <v>442</v>
      </c>
      <c r="P1" s="55"/>
      <c r="Q1" s="7" t="s">
        <v>443</v>
      </c>
      <c r="R1" s="10" t="s">
        <v>444</v>
      </c>
      <c r="S1" s="7" t="s">
        <v>445</v>
      </c>
      <c r="T1" s="57"/>
      <c r="U1" s="8" t="s">
        <v>446</v>
      </c>
      <c r="V1" s="57"/>
      <c r="W1" s="6" t="s">
        <v>447</v>
      </c>
    </row>
    <row r="2" spans="1:23" x14ac:dyDescent="0.3">
      <c r="A2" s="73" t="s">
        <v>470</v>
      </c>
      <c r="B2" t="s">
        <v>514</v>
      </c>
      <c r="C2" t="s">
        <v>348</v>
      </c>
      <c r="D2" s="71">
        <v>45324</v>
      </c>
      <c r="E2" s="73" t="s">
        <v>515</v>
      </c>
      <c r="G2">
        <f>IF(ISBLANK(Calculate_Technical_Metadata___Data_Set[[#This Row],[Data Set Name]])=TRUE, 0, 1)</f>
        <v>1</v>
      </c>
      <c r="H2">
        <f>IF(ISBLANK(Calculate_Technical_Metadata___Data_Set[[#This Row],[Data Set Description]])=TRUE, 0, 1)</f>
        <v>1</v>
      </c>
      <c r="I2">
        <f>IF(ISBLANK(Calculate_Technical_Metadata___Data_Set[[#This Row],[Data Set Update Frequency]])=TRUE, 0, 1)</f>
        <v>1</v>
      </c>
      <c r="J2">
        <f>IF(ISBLANK(Calculate_Technical_Metadata___Data_Set[[#This Row],[Updated Date]])=TRUE, 0, 1)</f>
        <v>1</v>
      </c>
      <c r="K2">
        <f>IF(ISBLANK(Calculate_Technical_Metadata___Data_Set[[#This Row],[Updated By]])=TRUE, 0, 1)</f>
        <v>1</v>
      </c>
      <c r="M2">
        <f>IF(OR(ISERROR(FIND(" ",Calculate_Technical_Metadata___Data_Set[[#This Row],[Data Set Name]], 1))=TRUE, ISERROR(FIND("__",Calculate_Technical_Metadata___Data_Set[[#This Row],[Data Set Name]], 1))=TRUE)=TRUE, 1, 0)</f>
        <v>1</v>
      </c>
      <c r="N2">
        <f>IF(OR(ISERROR(FIND("  ",Calculate_Technical_Metadata___Data_Set[[#This Row],[Data Set Description]], 1))=TRUE, ISERROR(FIND("__",Calculate_Technical_Metadata___Data_Set[[#This Row],[Data Set Description]], 1))=TRUE)=TRUE, 1, 0)</f>
        <v>1</v>
      </c>
      <c r="O2">
        <f>IF(ISERROR(FIND("  ",Calculate_Technical_Metadata___Data_Set[[#This Row],[Updated By]], 1))=TRUE, 1, 0)</f>
        <v>1</v>
      </c>
      <c r="Q2">
        <f>IF( COUNTIFS(A:A,Calculate_Technical_Metadata___Data_Set[[#This Row],[Data Set Name]]) = 1, 1, 0)</f>
        <v>1</v>
      </c>
      <c r="R2" t="str">
        <f>RIGHT(Calculate_Technical_Metadata___Data_Set[[#This Row],[Data Set Description]], 250)</f>
        <v>It is a table showing the collection of customer account information. Including officials that are taken care of in each product</v>
      </c>
      <c r="S2">
        <f>IF(COUNTIFS(R:R,R2) &gt;0, 1, 0)</f>
        <v>1</v>
      </c>
      <c r="U2">
        <f>IF(COUNTIFS('Cal_Technical - Column'!C:C,Calculate_Technical_Metadata___Data_Set[[#This Row],[Data Set Name]])&gt;0, 1, 0)</f>
        <v>1</v>
      </c>
      <c r="W2" s="2">
        <f xml:space="preserve"> COUNTIFS(Frequency!A:A,Calculate_Technical_Metadata___Data_Set[[#This Row],[Data Set Update Frequency]])</f>
        <v>1</v>
      </c>
    </row>
    <row r="3" spans="1:23" x14ac:dyDescent="0.3">
      <c r="A3" s="73" t="s">
        <v>40</v>
      </c>
      <c r="B3" t="s">
        <v>100</v>
      </c>
      <c r="C3" t="s">
        <v>348</v>
      </c>
      <c r="D3" s="71">
        <v>45286</v>
      </c>
      <c r="E3" s="73" t="s">
        <v>57</v>
      </c>
      <c r="G3">
        <f>IF(ISBLANK(Calculate_Technical_Metadata___Data_Set[[#This Row],[Data Set Name]])=TRUE, 0, 1)</f>
        <v>1</v>
      </c>
      <c r="H3">
        <f>IF(ISBLANK(Calculate_Technical_Metadata___Data_Set[[#This Row],[Data Set Description]])=TRUE, 0, 1)</f>
        <v>1</v>
      </c>
      <c r="I3">
        <f>IF(ISBLANK(Calculate_Technical_Metadata___Data_Set[[#This Row],[Data Set Update Frequency]])=TRUE, 0, 1)</f>
        <v>1</v>
      </c>
      <c r="J3">
        <f>IF(ISBLANK(Calculate_Technical_Metadata___Data_Set[[#This Row],[Updated Date]])=TRUE, 0, 1)</f>
        <v>1</v>
      </c>
      <c r="K3">
        <f>IF(ISBLANK(Calculate_Technical_Metadata___Data_Set[[#This Row],[Updated By]])=TRUE, 0, 1)</f>
        <v>1</v>
      </c>
      <c r="M3">
        <f>IF(OR(ISERROR(FIND(" ",Calculate_Technical_Metadata___Data_Set[[#This Row],[Data Set Name]], 1))=TRUE, ISERROR(FIND("__",Calculate_Technical_Metadata___Data_Set[[#This Row],[Data Set Name]], 1))=TRUE)=TRUE, 1, 0)</f>
        <v>1</v>
      </c>
      <c r="N3">
        <f>IF(OR(ISERROR(FIND("  ",Calculate_Technical_Metadata___Data_Set[[#This Row],[Data Set Description]], 1))=TRUE, ISERROR(FIND("__",Calculate_Technical_Metadata___Data_Set[[#This Row],[Data Set Description]], 1))=TRUE)=TRUE, 1, 0)</f>
        <v>1</v>
      </c>
      <c r="O3">
        <f>IF(ISERROR(FIND("  ",Calculate_Technical_Metadata___Data_Set[[#This Row],[Updated By]], 1))=TRUE, 1, 0)</f>
        <v>1</v>
      </c>
      <c r="Q3">
        <f>IF( COUNTIFS(A:A,Calculate_Technical_Metadata___Data_Set[[#This Row],[Data Set Name]]) = 1, 1, 0)</f>
        <v>1</v>
      </c>
      <c r="R3" t="str">
        <f>RIGHT(Calculate_Technical_Metadata___Data_Set[[#This Row],[Data Set Description]], 250)</f>
        <v>The table that collects all customer data</v>
      </c>
      <c r="S3">
        <f>IF(COUNTIFS(R:R,R3) &gt;0, 1, 0)</f>
        <v>1</v>
      </c>
      <c r="U3">
        <f>IF(COUNTIFS('Cal_Technical - Column'!C:C,Calculate_Technical_Metadata___Data_Set[[#This Row],[Data Set Name]])&gt;0, 1, 0)</f>
        <v>1</v>
      </c>
      <c r="W3" s="2">
        <f xml:space="preserve"> COUNTIFS(Frequency!A:A,Calculate_Technical_Metadata___Data_Set[[#This Row],[Data Set Update Frequency]])</f>
        <v>1</v>
      </c>
    </row>
    <row r="4" spans="1:23" x14ac:dyDescent="0.3">
      <c r="A4" s="73" t="s">
        <v>651</v>
      </c>
      <c r="B4" t="s">
        <v>652</v>
      </c>
      <c r="C4" t="s">
        <v>348</v>
      </c>
      <c r="D4" s="71">
        <v>45503</v>
      </c>
      <c r="E4" s="73" t="s">
        <v>57</v>
      </c>
      <c r="G4">
        <f>IF(ISBLANK(Calculate_Technical_Metadata___Data_Set[[#This Row],[Data Set Name]])=TRUE, 0, 1)</f>
        <v>1</v>
      </c>
      <c r="H4">
        <f>IF(ISBLANK(Calculate_Technical_Metadata___Data_Set[[#This Row],[Data Set Description]])=TRUE, 0, 1)</f>
        <v>1</v>
      </c>
      <c r="I4">
        <f>IF(ISBLANK(Calculate_Technical_Metadata___Data_Set[[#This Row],[Data Set Update Frequency]])=TRUE, 0, 1)</f>
        <v>1</v>
      </c>
      <c r="J4">
        <f>IF(ISBLANK(Calculate_Technical_Metadata___Data_Set[[#This Row],[Updated Date]])=TRUE, 0, 1)</f>
        <v>1</v>
      </c>
      <c r="K4">
        <f>IF(ISBLANK(Calculate_Technical_Metadata___Data_Set[[#This Row],[Updated By]])=TRUE, 0, 1)</f>
        <v>1</v>
      </c>
      <c r="M4">
        <f>IF(OR(ISERROR(FIND(" ",Calculate_Technical_Metadata___Data_Set[[#This Row],[Data Set Name]], 1))=TRUE, ISERROR(FIND("__",Calculate_Technical_Metadata___Data_Set[[#This Row],[Data Set Name]], 1))=TRUE)=TRUE, 1, 0)</f>
        <v>1</v>
      </c>
      <c r="N4">
        <f>IF(OR(ISERROR(FIND("  ",Calculate_Technical_Metadata___Data_Set[[#This Row],[Data Set Description]], 1))=TRUE, ISERROR(FIND("__",Calculate_Technical_Metadata___Data_Set[[#This Row],[Data Set Description]], 1))=TRUE)=TRUE, 1, 0)</f>
        <v>1</v>
      </c>
      <c r="O4">
        <f>IF(ISERROR(FIND("  ",Calculate_Technical_Metadata___Data_Set[[#This Row],[Updated By]], 1))=TRUE, 1, 0)</f>
        <v>1</v>
      </c>
      <c r="Q4">
        <f>IF( COUNTIFS(A:A,Calculate_Technical_Metadata___Data_Set[[#This Row],[Data Set Name]]) = 1, 1, 0)</f>
        <v>1</v>
      </c>
      <c r="R4" t="str">
        <f>RIGHT(Calculate_Technical_Metadata___Data_Set[[#This Row],[Data Set Description]], 250)</f>
        <v>Collect customer fund product information and create individual portfolios.</v>
      </c>
      <c r="S4">
        <f>IF(COUNTIFS(R:R,R4) &gt;0, 1, 0)</f>
        <v>1</v>
      </c>
      <c r="U4">
        <f>IF(COUNTIFS('Cal_Technical - Column'!C:C,Calculate_Technical_Metadata___Data_Set[[#This Row],[Data Set Name]])&gt;0, 1, 0)</f>
        <v>1</v>
      </c>
      <c r="W4" s="2">
        <f xml:space="preserve"> COUNTIFS(Frequency!A:A,Calculate_Technical_Metadata___Data_Set[[#This Row],[Data Set Update Frequency]])</f>
        <v>1</v>
      </c>
    </row>
    <row r="5" spans="1:23" x14ac:dyDescent="0.3">
      <c r="A5" s="73" t="s">
        <v>653</v>
      </c>
      <c r="B5" t="s">
        <v>654</v>
      </c>
      <c r="C5" t="s">
        <v>348</v>
      </c>
      <c r="D5" s="71">
        <v>45503</v>
      </c>
      <c r="E5" s="73" t="s">
        <v>57</v>
      </c>
    </row>
    <row r="6" spans="1:23" x14ac:dyDescent="0.3">
      <c r="A6" s="73" t="s">
        <v>619</v>
      </c>
      <c r="B6" t="s">
        <v>650</v>
      </c>
      <c r="C6" t="s">
        <v>348</v>
      </c>
      <c r="D6" s="71">
        <v>45491</v>
      </c>
      <c r="E6" s="73" t="s">
        <v>515</v>
      </c>
    </row>
  </sheetData>
  <phoneticPr fontId="20" type="noConversion"/>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14C30-9A64-4417-AA72-83C61798CD7D}">
  <dimension ref="A1:L46"/>
  <sheetViews>
    <sheetView showGridLines="0" zoomScale="90" zoomScaleNormal="90" workbookViewId="0">
      <pane ySplit="1" topLeftCell="A2" activePane="bottomLeft" state="frozen"/>
      <selection activeCell="S32" sqref="S32"/>
      <selection pane="bottomLeft" activeCell="L17" sqref="L17"/>
    </sheetView>
  </sheetViews>
  <sheetFormatPr defaultColWidth="8.58203125" defaultRowHeight="14" x14ac:dyDescent="0.3"/>
  <cols>
    <col min="1" max="1" width="10.33203125" style="33" bestFit="1" customWidth="1"/>
    <col min="2" max="2" width="24" style="33" bestFit="1" customWidth="1"/>
    <col min="3" max="16384" width="8.58203125" style="33"/>
  </cols>
  <sheetData>
    <row r="1" spans="1:7" x14ac:dyDescent="0.3">
      <c r="A1" s="40" t="s">
        <v>59</v>
      </c>
      <c r="B1" s="88" t="s">
        <v>448</v>
      </c>
      <c r="C1" s="88"/>
      <c r="D1" s="88"/>
      <c r="E1" s="88"/>
      <c r="F1" s="88"/>
      <c r="G1" s="89"/>
    </row>
    <row r="2" spans="1:7" x14ac:dyDescent="0.3">
      <c r="A2" s="41">
        <v>45007</v>
      </c>
      <c r="B2" s="90" t="s">
        <v>449</v>
      </c>
      <c r="C2" s="90"/>
      <c r="D2" s="90"/>
      <c r="E2" s="90"/>
      <c r="F2" s="90"/>
      <c r="G2" s="37"/>
    </row>
    <row r="3" spans="1:7" x14ac:dyDescent="0.3">
      <c r="A3" s="42"/>
      <c r="B3" s="43"/>
      <c r="G3" s="37"/>
    </row>
    <row r="4" spans="1:7" x14ac:dyDescent="0.3">
      <c r="A4" s="42"/>
      <c r="B4" s="91" t="s">
        <v>450</v>
      </c>
      <c r="C4" s="93" t="s">
        <v>451</v>
      </c>
      <c r="D4" s="94"/>
      <c r="E4" s="94"/>
      <c r="F4" s="95"/>
      <c r="G4" s="37"/>
    </row>
    <row r="5" spans="1:7" x14ac:dyDescent="0.3">
      <c r="A5" s="42"/>
      <c r="B5" s="92"/>
      <c r="C5" s="44" t="s">
        <v>452</v>
      </c>
      <c r="D5" s="44" t="s">
        <v>453</v>
      </c>
      <c r="E5" s="44" t="s">
        <v>454</v>
      </c>
      <c r="F5" s="44" t="s">
        <v>455</v>
      </c>
      <c r="G5" s="37"/>
    </row>
    <row r="6" spans="1:7" x14ac:dyDescent="0.3">
      <c r="A6" s="42"/>
      <c r="B6" s="45" t="s">
        <v>229</v>
      </c>
      <c r="C6" s="46" t="s">
        <v>456</v>
      </c>
      <c r="D6" s="46" t="s">
        <v>456</v>
      </c>
      <c r="E6" s="46" t="s">
        <v>456</v>
      </c>
      <c r="F6" s="46" t="s">
        <v>456</v>
      </c>
      <c r="G6" s="37"/>
    </row>
    <row r="7" spans="1:7" x14ac:dyDescent="0.3">
      <c r="A7" s="42"/>
      <c r="B7" s="45" t="s">
        <v>457</v>
      </c>
      <c r="C7" s="46" t="s">
        <v>456</v>
      </c>
      <c r="D7" s="46" t="s">
        <v>456</v>
      </c>
      <c r="E7" s="46" t="s">
        <v>456</v>
      </c>
      <c r="F7" s="46" t="s">
        <v>456</v>
      </c>
      <c r="G7" s="37"/>
    </row>
    <row r="8" spans="1:7" x14ac:dyDescent="0.3">
      <c r="A8" s="42"/>
      <c r="B8" s="45" t="s">
        <v>458</v>
      </c>
      <c r="C8" s="46" t="s">
        <v>456</v>
      </c>
      <c r="D8" s="46" t="s">
        <v>456</v>
      </c>
      <c r="E8" s="46" t="s">
        <v>456</v>
      </c>
      <c r="F8" s="46" t="s">
        <v>456</v>
      </c>
      <c r="G8" s="37"/>
    </row>
    <row r="9" spans="1:7" x14ac:dyDescent="0.3">
      <c r="A9" s="42"/>
      <c r="B9" s="47"/>
      <c r="C9" s="47"/>
      <c r="D9" s="47"/>
      <c r="E9" s="47"/>
      <c r="F9" s="47"/>
      <c r="G9" s="37"/>
    </row>
    <row r="10" spans="1:7" x14ac:dyDescent="0.3">
      <c r="A10" s="42"/>
      <c r="B10" s="91" t="s">
        <v>450</v>
      </c>
      <c r="C10" s="96" t="s">
        <v>459</v>
      </c>
      <c r="D10" s="97"/>
      <c r="E10" s="97"/>
      <c r="F10" s="98"/>
      <c r="G10" s="37"/>
    </row>
    <row r="11" spans="1:7" x14ac:dyDescent="0.3">
      <c r="A11" s="42"/>
      <c r="B11" s="92"/>
      <c r="C11" s="44" t="s">
        <v>452</v>
      </c>
      <c r="D11" s="44" t="s">
        <v>453</v>
      </c>
      <c r="E11" s="44" t="s">
        <v>454</v>
      </c>
      <c r="F11" s="44" t="s">
        <v>455</v>
      </c>
      <c r="G11" s="37"/>
    </row>
    <row r="12" spans="1:7" x14ac:dyDescent="0.3">
      <c r="A12" s="42"/>
      <c r="B12" s="45" t="s">
        <v>229</v>
      </c>
      <c r="C12" s="99" t="s">
        <v>456</v>
      </c>
      <c r="D12" s="99"/>
      <c r="E12" s="99"/>
      <c r="F12" s="99"/>
      <c r="G12" s="37"/>
    </row>
    <row r="13" spans="1:7" x14ac:dyDescent="0.3">
      <c r="A13" s="42"/>
      <c r="B13" s="45" t="s">
        <v>457</v>
      </c>
      <c r="C13" s="99" t="s">
        <v>456</v>
      </c>
      <c r="D13" s="99"/>
      <c r="E13" s="99"/>
      <c r="F13" s="99"/>
      <c r="G13" s="37"/>
    </row>
    <row r="14" spans="1:7" x14ac:dyDescent="0.3">
      <c r="A14" s="42"/>
      <c r="B14" s="45" t="s">
        <v>458</v>
      </c>
      <c r="C14" s="99" t="s">
        <v>456</v>
      </c>
      <c r="D14" s="99"/>
      <c r="E14" s="99"/>
      <c r="F14" s="99"/>
      <c r="G14" s="37"/>
    </row>
    <row r="15" spans="1:7" x14ac:dyDescent="0.3">
      <c r="A15" s="48"/>
      <c r="B15" s="49"/>
      <c r="C15" s="49"/>
      <c r="D15" s="49"/>
      <c r="E15" s="49"/>
      <c r="F15" s="49"/>
      <c r="G15" s="39"/>
    </row>
    <row r="16" spans="1:7" x14ac:dyDescent="0.3">
      <c r="A16" s="34"/>
      <c r="B16" s="50"/>
      <c r="C16" s="50"/>
      <c r="D16" s="50"/>
      <c r="E16" s="50"/>
      <c r="F16" s="50"/>
      <c r="G16" s="35"/>
    </row>
    <row r="17" spans="1:7" x14ac:dyDescent="0.3">
      <c r="A17" s="51">
        <v>45009</v>
      </c>
      <c r="B17" s="52" t="s">
        <v>460</v>
      </c>
      <c r="G17" s="37"/>
    </row>
    <row r="18" spans="1:7" x14ac:dyDescent="0.3">
      <c r="A18" s="36"/>
      <c r="B18" s="100" t="s">
        <v>450</v>
      </c>
      <c r="C18" s="96" t="s">
        <v>459</v>
      </c>
      <c r="D18" s="97"/>
      <c r="E18" s="97"/>
      <c r="F18" s="98"/>
      <c r="G18" s="37"/>
    </row>
    <row r="19" spans="1:7" x14ac:dyDescent="0.3">
      <c r="A19" s="36"/>
      <c r="B19" s="100"/>
      <c r="C19" s="44" t="s">
        <v>452</v>
      </c>
      <c r="D19" s="44" t="s">
        <v>453</v>
      </c>
      <c r="E19" s="44" t="s">
        <v>454</v>
      </c>
      <c r="F19" s="44" t="s">
        <v>455</v>
      </c>
      <c r="G19" s="37"/>
    </row>
    <row r="20" spans="1:7" x14ac:dyDescent="0.3">
      <c r="A20" s="36"/>
      <c r="B20" s="53" t="s">
        <v>229</v>
      </c>
      <c r="C20" s="79" t="s">
        <v>456</v>
      </c>
      <c r="D20" s="80"/>
      <c r="E20" s="80"/>
      <c r="F20" s="81"/>
      <c r="G20" s="37"/>
    </row>
    <row r="21" spans="1:7" x14ac:dyDescent="0.3">
      <c r="A21" s="36"/>
      <c r="B21" s="53" t="s">
        <v>457</v>
      </c>
      <c r="C21" s="82"/>
      <c r="D21" s="83"/>
      <c r="E21" s="83"/>
      <c r="F21" s="84"/>
      <c r="G21" s="37"/>
    </row>
    <row r="22" spans="1:7" x14ac:dyDescent="0.3">
      <c r="A22" s="36"/>
      <c r="B22" s="53" t="s">
        <v>458</v>
      </c>
      <c r="C22" s="85"/>
      <c r="D22" s="86"/>
      <c r="E22" s="86"/>
      <c r="F22" s="87"/>
      <c r="G22" s="37"/>
    </row>
    <row r="23" spans="1:7" x14ac:dyDescent="0.3">
      <c r="A23" s="38"/>
      <c r="B23" s="49"/>
      <c r="C23" s="49"/>
      <c r="D23" s="49"/>
      <c r="E23" s="49"/>
      <c r="F23" s="49"/>
      <c r="G23" s="39"/>
    </row>
    <row r="24" spans="1:7" x14ac:dyDescent="0.3">
      <c r="A24" s="34"/>
      <c r="B24" s="50"/>
      <c r="C24" s="50"/>
      <c r="D24" s="50"/>
      <c r="E24" s="50"/>
      <c r="F24" s="50"/>
      <c r="G24" s="35"/>
    </row>
    <row r="25" spans="1:7" x14ac:dyDescent="0.3">
      <c r="A25" s="51">
        <v>45033</v>
      </c>
      <c r="B25" s="33" t="s">
        <v>461</v>
      </c>
      <c r="G25" s="37"/>
    </row>
    <row r="26" spans="1:7" x14ac:dyDescent="0.3">
      <c r="A26" s="36"/>
      <c r="B26" s="33" t="s">
        <v>462</v>
      </c>
      <c r="G26" s="37"/>
    </row>
    <row r="27" spans="1:7" x14ac:dyDescent="0.3">
      <c r="A27" s="36"/>
      <c r="B27" s="33" t="s">
        <v>463</v>
      </c>
      <c r="G27" s="37"/>
    </row>
    <row r="28" spans="1:7" x14ac:dyDescent="0.3">
      <c r="A28" s="38"/>
      <c r="B28" s="49"/>
      <c r="C28" s="49"/>
      <c r="D28" s="49"/>
      <c r="E28" s="49"/>
      <c r="F28" s="49"/>
      <c r="G28" s="39"/>
    </row>
    <row r="30" spans="1:7" x14ac:dyDescent="0.3">
      <c r="A30" s="54">
        <v>45195</v>
      </c>
      <c r="B30" s="33" t="s">
        <v>464</v>
      </c>
    </row>
    <row r="31" spans="1:7" x14ac:dyDescent="0.3">
      <c r="B31" s="33" t="s">
        <v>465</v>
      </c>
    </row>
    <row r="35" spans="1:12" x14ac:dyDescent="0.3">
      <c r="B35" s="33" t="s">
        <v>466</v>
      </c>
    </row>
    <row r="45" spans="1:12" ht="39.65" customHeight="1" x14ac:dyDescent="0.3">
      <c r="B45" s="78" t="s">
        <v>467</v>
      </c>
      <c r="C45" s="78"/>
      <c r="D45" s="78"/>
      <c r="E45" s="78"/>
      <c r="F45" s="78"/>
      <c r="G45" s="78"/>
      <c r="H45" s="78"/>
      <c r="I45" s="78"/>
      <c r="J45" s="78"/>
      <c r="K45" s="78"/>
      <c r="L45" s="78"/>
    </row>
    <row r="46" spans="1:12" x14ac:dyDescent="0.3">
      <c r="A46" s="54">
        <v>45202</v>
      </c>
      <c r="B46" s="33" t="s">
        <v>468</v>
      </c>
    </row>
  </sheetData>
  <mergeCells count="13">
    <mergeCell ref="B45:L45"/>
    <mergeCell ref="C20:F22"/>
    <mergeCell ref="B1:G1"/>
    <mergeCell ref="B2:F2"/>
    <mergeCell ref="B4:B5"/>
    <mergeCell ref="C4:F4"/>
    <mergeCell ref="B10:B11"/>
    <mergeCell ref="C10:F10"/>
    <mergeCell ref="C12:F12"/>
    <mergeCell ref="C13:F13"/>
    <mergeCell ref="C14:F14"/>
    <mergeCell ref="B18:B19"/>
    <mergeCell ref="C18:F18"/>
  </mergeCells>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9F8E9BEAB174D46A8FDA140D9AC930A" ma:contentTypeVersion="19" ma:contentTypeDescription="Create a new document." ma:contentTypeScope="" ma:versionID="f149bf4ebd48798882fed4e648e27680">
  <xsd:schema xmlns:xsd="http://www.w3.org/2001/XMLSchema" xmlns:xs="http://www.w3.org/2001/XMLSchema" xmlns:p="http://schemas.microsoft.com/office/2006/metadata/properties" xmlns:ns2="a4680ecb-53a0-4acd-9cb2-a9401913eb0c" xmlns:ns3="5a0491ad-5184-4823-b43c-17137d313286" targetNamespace="http://schemas.microsoft.com/office/2006/metadata/properties" ma:root="true" ma:fieldsID="acbcb8a92eb91503253be4b03e92aabe" ns2:_="" ns3:_="">
    <xsd:import namespace="a4680ecb-53a0-4acd-9cb2-a9401913eb0c"/>
    <xsd:import namespace="5a0491ad-5184-4823-b43c-17137d313286"/>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TaxCatchAll" minOccurs="0"/>
                <xsd:element ref="ns2:MediaServiceDateTaken" minOccurs="0"/>
                <xsd:element ref="ns2:lcf76f155ced4ddcb4097134ff3c332f" minOccurs="0"/>
                <xsd:element ref="ns2:MediaServiceObjectDetectorVersions"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4680ecb-53a0-4acd-9cb2-a9401913eb0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8ed748d9-e929-443b-8ee0-f34b5673834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a0491ad-5184-4823-b43c-17137d313286"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8" nillable="true" ma:displayName="Taxonomy Catch All Column" ma:hidden="true" ma:list="{5dc25385-36cc-47a3-89b3-09ff507168c2}" ma:internalName="TaxCatchAll" ma:showField="CatchAllData" ma:web="5a0491ad-5184-4823-b43c-17137d313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5a0491ad-5184-4823-b43c-17137d313286" xsi:nil="true"/>
    <lcf76f155ced4ddcb4097134ff3c332f xmlns="a4680ecb-53a0-4acd-9cb2-a9401913eb0c">
      <Terms xmlns="http://schemas.microsoft.com/office/infopath/2007/PartnerControls"/>
    </lcf76f155ced4ddcb4097134ff3c332f>
    <SharedWithUsers xmlns="5a0491ad-5184-4823-b43c-17137d313286">
      <UserInfo>
        <DisplayName>NUTCHA MAROD</DisplayName>
        <AccountId>302</AccountId>
        <AccountType/>
      </UserInfo>
    </SharedWithUsers>
  </documentManagement>
</p:properties>
</file>

<file path=customXml/item4.xml>��
</file>

<file path=customXml/itemProps1.xml><?xml version="1.0" encoding="utf-8"?>
<ds:datastoreItem xmlns:ds="http://schemas.openxmlformats.org/officeDocument/2006/customXml" ds:itemID="{7BA605F2-D1D3-4BF0-BF51-3A394585A8F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4680ecb-53a0-4acd-9cb2-a9401913eb0c"/>
    <ds:schemaRef ds:uri="5a0491ad-5184-4823-b43c-17137d313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C05A22F-0304-4F48-A5D0-370F92DBDC94}">
  <ds:schemaRefs>
    <ds:schemaRef ds:uri="http://schemas.microsoft.com/sharepoint/v3/contenttype/forms"/>
  </ds:schemaRefs>
</ds:datastoreItem>
</file>

<file path=customXml/itemProps3.xml><?xml version="1.0" encoding="utf-8"?>
<ds:datastoreItem xmlns:ds="http://schemas.openxmlformats.org/officeDocument/2006/customXml" ds:itemID="{4A8AC218-D84B-40A4-BB24-05B8A21013C0}">
  <ds:schemaRefs>
    <ds:schemaRef ds:uri="http://schemas.microsoft.com/office/2006/metadata/properties"/>
    <ds:schemaRef ds:uri="http://schemas.microsoft.com/office/infopath/2007/PartnerControls"/>
    <ds:schemaRef ds:uri="5a0491ad-5184-4823-b43c-17137d313286"/>
    <ds:schemaRef ds:uri="a4680ecb-53a0-4acd-9cb2-a9401913eb0c"/>
  </ds:schemaRefs>
</ds:datastoreItem>
</file>

<file path=customXml/itemProps4.xml><?xml version="1.0" encoding="utf-8"?>
<ds:datastoreItem xmlns:ds="http://schemas.openxmlformats.org/officeDocument/2006/customXml" ds:itemID="{040EB7A0-7A67-46FA-9865-1E80D8BE5E12}">
  <ds:schemaRefs>
    <ds:schemaRef ds:uri="http://schemas.microsoft.com/DataMashup"/>
  </ds:schemaRefs>
</ds:datastoreItem>
</file>

<file path=docMetadata/LabelInfo.xml><?xml version="1.0" encoding="utf-8"?>
<clbl:labelList xmlns:clbl="http://schemas.microsoft.com/office/2020/mipLabelMetadata">
  <clbl:label id="{c799a265-e452-471a-9f71-28c814d4acbc}" enabled="1" method="Standard" siteId="{45202dee-4088-4e8c-8ebd-c01f56740e8f}"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Cover Sheet</vt:lpstr>
      <vt:lpstr>Instruction</vt:lpstr>
      <vt:lpstr>Technical Column</vt:lpstr>
      <vt:lpstr>Technical Data Set</vt:lpstr>
      <vt:lpstr>Business Metadata</vt:lpstr>
      <vt:lpstr>Scope &amp; Condition by field</vt:lpstr>
      <vt:lpstr>Summary</vt:lpstr>
      <vt:lpstr>Element</vt:lpstr>
      <vt:lpstr>Cal_Business Metadata</vt:lpstr>
      <vt:lpstr>Cal_Technical - Column</vt:lpstr>
      <vt:lpstr>Frequency</vt:lpstr>
      <vt:lpstr>Type</vt:lpstr>
      <vt:lpstr>Cal_Technical - Data Set</vt:lpstr>
      <vt:lpstr>Revision More Detail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NUTCHA MAROD</dc:creator>
  <cp:keywords/>
  <dc:description/>
  <cp:lastModifiedBy>TOSSAWAT PANOMVONGKASEM</cp:lastModifiedBy>
  <cp:revision/>
  <dcterms:created xsi:type="dcterms:W3CDTF">2023-09-25T14:14:09Z</dcterms:created>
  <dcterms:modified xsi:type="dcterms:W3CDTF">2024-07-30T08:02:49Z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0x01010009F8E9BEAB174D46A8FDA140D9AC930A</vt:lpwstr>
  </property>
  <property fmtid="{D5CDD505-2E9C-101B-9397-08002B2CF9AE}" pid="3" name="MediaServiceImageTags">
    <vt:lpwstr/>
  </property>
</Properties>
</file>
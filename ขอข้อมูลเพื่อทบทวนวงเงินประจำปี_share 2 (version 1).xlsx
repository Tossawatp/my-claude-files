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00432\Downloads\"/>
    </mc:Choice>
  </mc:AlternateContent>
  <xr:revisionPtr revIDLastSave="0" documentId="8_{DD0035B7-8E4B-42E9-AC89-8CB5FF485DC7}" xr6:coauthVersionLast="47" xr6:coauthVersionMax="47" xr10:uidLastSave="{00000000-0000-0000-0000-000000000000}"/>
  <bookViews>
    <workbookView xWindow="-110" yWindow="-110" windowWidth="19420" windowHeight="10300" tabRatio="536" xr2:uid="{00000000-000D-0000-FFFF-FFFF00000000}"/>
  </bookViews>
  <sheets>
    <sheet name="Comparison" sheetId="9" r:id="rId1"/>
    <sheet name="data" sheetId="1" r:id="rId2"/>
    <sheet name="equity_report" sheetId="3" r:id="rId3"/>
    <sheet name="bond_report" sheetId="4" r:id="rId4"/>
    <sheet name="sbl_report" sheetId="5" r:id="rId5"/>
    <sheet name="offshore_report" sheetId="6" r:id="rId6"/>
    <sheet name="tfex_report" sheetId="7" r:id="rId7"/>
    <sheet name="all_dropdown" sheetId="8" r:id="rId8"/>
  </sheets>
  <calcPr calcId="191028" calcOnSave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F6" i="8" l="1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F2" i="8"/>
  <c r="E2" i="8"/>
  <c r="D2" i="8"/>
  <c r="C2" i="8"/>
</calcChain>
</file>

<file path=xl/sharedStrings.xml><?xml version="1.0" encoding="utf-8"?>
<sst xmlns="http://schemas.openxmlformats.org/spreadsheetml/2006/main" count="894" uniqueCount="177">
  <si>
    <t>datalake</t>
  </si>
  <si>
    <t>สำหรับบัญชี หุ้น</t>
  </si>
  <si>
    <t>Definition</t>
  </si>
  <si>
    <t>source system</t>
  </si>
  <si>
    <t>source table</t>
  </si>
  <si>
    <t>source column</t>
  </si>
  <si>
    <t>Formular</t>
  </si>
  <si>
    <t>Remark</t>
  </si>
  <si>
    <t>Mapping status</t>
  </si>
  <si>
    <t>Date</t>
  </si>
  <si>
    <t>as of date ของข้อมูลที่ดึงมา</t>
  </si>
  <si>
    <t>x</t>
  </si>
  <si>
    <t>Not started</t>
  </si>
  <si>
    <t>account</t>
  </si>
  <si>
    <t>เลขที่บัญชี</t>
  </si>
  <si>
    <t>custacct</t>
  </si>
  <si>
    <t>เลขที่ลูกค้า</t>
  </si>
  <si>
    <t>xchgmkt</t>
  </si>
  <si>
    <t>เลขที่ตลาดซื้อขาย : เป็นเลข 1 บัญชีหุ้น</t>
  </si>
  <si>
    <t>card id</t>
  </si>
  <si>
    <t>เลขประจำตัวประชาชน / เลขทะเบียนนิติบุคคล</t>
  </si>
  <si>
    <t>client_name</t>
  </si>
  <si>
    <t>ชื่อลูกค้า</t>
  </si>
  <si>
    <t>team name</t>
  </si>
  <si>
    <t>ชื่อทีม  ที่ดูแลลูกค้า</t>
  </si>
  <si>
    <t>mktname</t>
  </si>
  <si>
    <t>ชื่อ AO ที่ดูแลลูกค้า</t>
  </si>
  <si>
    <t>flag บุคคลธรรมดา/นิติบุคคล</t>
  </si>
  <si>
    <t>บุคคลธรรมดา or นิติบุคคล</t>
  </si>
  <si>
    <t>flag 
lombard loan</t>
  </si>
  <si>
    <t>Yes or No</t>
  </si>
  <si>
    <t>flag 
property backed loan (PPBL)</t>
  </si>
  <si>
    <t>flag TFSC</t>
  </si>
  <si>
    <t xml:space="preserve">flag algo trade </t>
  </si>
  <si>
    <t>flag cashcredit</t>
  </si>
  <si>
    <t>Open date</t>
  </si>
  <si>
    <t>วันที่เปิดบัญชี</t>
  </si>
  <si>
    <t>Last trade</t>
  </si>
  <si>
    <t>วันที่มีการซื้อขายล่าสุด</t>
  </si>
  <si>
    <t>Last date of temporary credit line reduction</t>
  </si>
  <si>
    <r>
      <t>วันที่ล่าสุดที่มีการปรับ</t>
    </r>
    <r>
      <rPr>
        <sz val="11"/>
        <color rgb="FFFF0000"/>
        <rFont val="Tahoma"/>
        <family val="2"/>
        <scheme val="minor"/>
      </rPr>
      <t>ลด</t>
    </r>
    <r>
      <rPr>
        <sz val="11"/>
        <color theme="1"/>
        <rFont val="Tahoma"/>
        <family val="2"/>
        <scheme val="minor"/>
      </rPr>
      <t xml:space="preserve"> วงเงินแบบ</t>
    </r>
    <r>
      <rPr>
        <sz val="11"/>
        <color rgb="FFFF0000"/>
        <rFont val="Tahoma"/>
        <family val="2"/>
        <scheme val="minor"/>
      </rPr>
      <t>ชั่วคราว</t>
    </r>
  </si>
  <si>
    <t>Last date change credit line</t>
  </si>
  <si>
    <r>
      <t>วันที่ล่าสุดที่มีการปรับ วงเงินแบบ</t>
    </r>
    <r>
      <rPr>
        <sz val="11"/>
        <color rgb="FFFF0000"/>
        <rFont val="Tahoma"/>
        <family val="2"/>
        <scheme val="minor"/>
      </rPr>
      <t>ถาวร</t>
    </r>
  </si>
  <si>
    <t>Credit line</t>
  </si>
  <si>
    <t>ข้อมูลวงเงินแบบถาวร ของบัญชี</t>
  </si>
  <si>
    <t>Current asset</t>
  </si>
  <si>
    <t>มูลค่าหุ้นหลัง Haircut + เงินสด ของ as of date</t>
  </si>
  <si>
    <t>Max_asset_1Year</t>
  </si>
  <si>
    <t>มูลค่าหุ้นหลัง Haircut + เงินสด ในแต่ละวันย้อนหลัง 1 ปี มาหาค่าที่สูงสุดของแต่ละบัญชี</t>
  </si>
  <si>
    <t>Loan
(credit balance)</t>
  </si>
  <si>
    <t>มูลหนี้ของลูกค้า กรณีเป็นบัญชี Credit balance</t>
  </si>
  <si>
    <t>trade utilization%</t>
  </si>
  <si>
    <t>%utilization ของวงเงิน ที่คิดจากการนำ AR_trade/comp_creditline ของแต่ละวันย้อนหลัง 1 ปี มาหาค่าที่สูงสุด</t>
  </si>
  <si>
    <t>max of daily trade utilization
daily trade utilization = AR_trade/comp_creditline</t>
  </si>
  <si>
    <t>loan utilization%</t>
  </si>
  <si>
    <t>%utilization ของวงเงิน ที่คิดจากการนำ debt/comp_creditline ของแต่ละวันย้อนหลัง 1 ปี มาหาค่าที่สูงสุด</t>
  </si>
  <si>
    <t>max of daily loan utilization
daily loan utilization = AR_trade/comp_creditline</t>
  </si>
  <si>
    <t>สำหรับบัญชี Bond</t>
  </si>
  <si>
    <t>as of date</t>
  </si>
  <si>
    <t>เลขที่ตลาดซื้อขาย (3)</t>
  </si>
  <si>
    <t>เลขประจำตัวผู้เสียภาษี</t>
  </si>
  <si>
    <t>ชื่อทีมที่ดูแลลูกค้า</t>
  </si>
  <si>
    <t>Last date change credit line
(วงเงินถาวร)</t>
  </si>
  <si>
    <t>วันที่ล่าสุดที่มีการปรับ วงเงินแบบถาวร</t>
  </si>
  <si>
    <t>Credit line
(วงเงินถาวร)</t>
  </si>
  <si>
    <t>ข้อมูลวงเงินแบบถาวร ของลูกค้า</t>
  </si>
  <si>
    <t>มูลค่า Bond mktval  ของ as of date</t>
  </si>
  <si>
    <t>นำมูลค่า Bond mktval ในแต่ละวัน มาหาค่าที่สูงสุดของแต่ละบัญชี</t>
  </si>
  <si>
    <t>สำหรับบัญชี SBL</t>
  </si>
  <si>
    <t>เลขที่ตลาดซื้อขาย
(1)</t>
  </si>
  <si>
    <t>open date</t>
  </si>
  <si>
    <t>นำมูลค่าหุ้นหลัง Haircut + เงินสด ในแต่ละวัน มาหาค่าที่สูงสุดของแต่ละบัญชี</t>
  </si>
  <si>
    <t>สำหรับบัญชี Off-shore</t>
  </si>
  <si>
    <t>มูลค่า Asset ของลูกค้า สกุลเงินบาท รวมทุก product
THB Eqv. Amount as of date</t>
  </si>
  <si>
    <t>นำมูลค่า Asset ของลูกค้า สกุลเงินบาท รวมทุก product ในแต่ละวันย้อนหลัง 1 ปี มาหาค่าที่สูงสุดของแต่ละบัญชี</t>
  </si>
  <si>
    <t>Max (มูลค่าซื้อ product ต่างๆ/credit line)
since last year</t>
  </si>
  <si>
    <t>%utilization ของวงเงิน ที่คิดจากการนำ มูลค่าซื้อของทุก product / comp_creditline ของแต่ละวันมาหาค่าที่สูงสุด</t>
  </si>
  <si>
    <t>สำหรับบัญชี TFEX</t>
  </si>
  <si>
    <t>initial margin
as of date</t>
  </si>
  <si>
    <t>initial margin ของบัญชี</t>
  </si>
  <si>
    <t>Max (initial margin)
since last year</t>
  </si>
  <si>
    <t>นำ initial margin ของบัญชี ในแต่ละวัน มาหาค่าที่สูงสุดของแต่ละบัญชี</t>
  </si>
  <si>
    <t>equity balance
as of date</t>
  </si>
  <si>
    <t>equity balance ของบัญชี</t>
  </si>
  <si>
    <t>Max (equity balance)
since last year</t>
  </si>
  <si>
    <t>นำ equity balance ของบัญชี ในแต่ละวัน มาหาค่าที่สูงสุดของแต่ละบัญชี</t>
  </si>
  <si>
    <t>Max (initial margin/credit line)
since last year</t>
  </si>
  <si>
    <t>%utilization ของวงเงิน ที่คิดจากการนำ initial margin/comp_creditline ของแต่ละวันมาหาค่าที่สูงสุด</t>
  </si>
  <si>
    <t>stock</t>
  </si>
  <si>
    <t>bond</t>
  </si>
  <si>
    <t>sbl</t>
  </si>
  <si>
    <t>offshore</t>
  </si>
  <si>
    <t>tfex</t>
  </si>
  <si>
    <t>Total</t>
  </si>
  <si>
    <t>Done</t>
  </si>
  <si>
    <t>Waiting for source to datalake</t>
  </si>
  <si>
    <t>Finding fields</t>
  </si>
  <si>
    <t>ขอข้อมูลเฉพาะบัญชีที่ยังไม่ปิดบัญชี</t>
  </si>
  <si>
    <t>ส่งให้พี่ oper อนุมัติ</t>
  </si>
  <si>
    <t>บัญชี bond ไม่มีเงินสด</t>
  </si>
  <si>
    <t>มูลค่าหุ้นหลัง haircut เข้า datalake เพิ่ม</t>
  </si>
  <si>
    <t>ขอข้อมูลเฉพาะบัญชีที่เปิดบัญชีมาเกิน 1 ปี</t>
  </si>
  <si>
    <t>data request</t>
  </si>
  <si>
    <t>SBA</t>
  </si>
  <si>
    <t>แยก credit balance ออกมาได้</t>
  </si>
  <si>
    <t>custacct 6 แยกได้เพิ่ม เป็น credit balance</t>
  </si>
  <si>
    <t>ข้อมูลสามารถแยกทีม Ebiz ออกมาได้ไหม</t>
  </si>
  <si>
    <t>Tlock</t>
  </si>
  <si>
    <t>algo trading internet flag = 3 and usefront = H</t>
  </si>
  <si>
    <t>6 cash account
A cash balance
0 สถาบันเทรดตามวงเงิน</t>
  </si>
  <si>
    <t>วันล่าสุดที่มีการปรับลดวงเงินชั่วคราว ใช้สำหรับแยกบัญชี Structure note</t>
  </si>
  <si>
    <t>เงินสดมีเก็บแค่ 2 week - 1 เดือน ใน SBA</t>
  </si>
  <si>
    <t>part utilization</t>
  </si>
  <si>
    <r>
      <t xml:space="preserve">มูลค่าหุ้นหลัง Haircut + เงินสด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</si>
  <si>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(มูลค่าหุ้นหลัง Haircut + เงินสด)
</t>
    </r>
    <r>
      <rPr>
        <u/>
        <sz val="11"/>
        <color theme="1"/>
        <rFont val="Tahoma"/>
        <family val="2"/>
        <scheme val="minor"/>
      </rPr>
      <t>since last year</t>
    </r>
  </si>
  <si>
    <r>
      <t xml:space="preserve">max (ar_trade/comp_creditline) 
</t>
    </r>
    <r>
      <rPr>
        <u/>
        <sz val="11"/>
        <color theme="1"/>
        <rFont val="Tahoma"/>
        <family val="2"/>
        <scheme val="minor"/>
      </rPr>
      <t>since last year</t>
    </r>
  </si>
  <si>
    <r>
      <t xml:space="preserve">max(debt/comp_creditline)
</t>
    </r>
    <r>
      <rPr>
        <u/>
        <sz val="11"/>
        <color theme="1"/>
        <rFont val="Tahoma"/>
        <family val="2"/>
        <scheme val="minor"/>
      </rPr>
      <t>since last year</t>
    </r>
  </si>
  <si>
    <t>วันล่าสุดที่มีการปรับลด วงเงินแบบชั่วคราว</t>
  </si>
  <si>
    <t>%utilization ของวงเงิน ที่คิดจากการนำ AR_trade/comp_creditline ของแต่ละวันมาหาค่าที่สูงสุด</t>
  </si>
  <si>
    <t>%utilization ของวงเงิน ที่คิดจากการนำ debt/comp_creditline ของแต่ละวันมาหาค่าที่สูงสุด</t>
  </si>
  <si>
    <t>มี/ไม่มีข้อมูล</t>
  </si>
  <si>
    <t>มี</t>
  </si>
  <si>
    <r>
      <t xml:space="preserve">มูลค่า Bond (bond mktval)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</si>
  <si>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(ar_trade/comp_creditline)
</t>
    </r>
    <r>
      <rPr>
        <u/>
        <sz val="11"/>
        <color theme="1"/>
        <rFont val="Tahoma"/>
        <family val="2"/>
        <scheme val="minor"/>
      </rPr>
      <t>since last year</t>
    </r>
  </si>
  <si>
    <t>เลขที่ตลาดซื้อขาย
(3)</t>
  </si>
  <si>
    <t>มีย้อนหลังไม่นาน 2week - 1 เดือน</t>
  </si>
  <si>
    <t>ปรับให้เป็น 0</t>
  </si>
  <si>
    <t>check  บัญชี SBL มี algo ไหม</t>
  </si>
  <si>
    <t>check</t>
  </si>
  <si>
    <t>CDB</t>
  </si>
  <si>
    <t>ข้อมูลทุก product</t>
  </si>
  <si>
    <r>
      <t xml:space="preserve">THB Eqv. Amount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</si>
  <si>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(THB Eqv. Amount )
</t>
    </r>
    <r>
      <rPr>
        <u/>
        <sz val="11"/>
        <color theme="1"/>
        <rFont val="Tahoma"/>
        <family val="2"/>
        <scheme val="minor"/>
      </rPr>
      <t>since last year</t>
    </r>
  </si>
  <si>
    <r>
      <t xml:space="preserve">Max (มูลค่าซื้อ product ต่างๆ/credit line)
</t>
    </r>
    <r>
      <rPr>
        <u/>
        <sz val="11"/>
        <color theme="1"/>
        <rFont val="Tahoma"/>
        <family val="2"/>
        <scheme val="minor"/>
      </rPr>
      <t>since last year</t>
    </r>
  </si>
  <si>
    <t>มูลค่า Asset ของลูกค้า สกุลเงินบาท รวมทุก product</t>
  </si>
  <si>
    <t>นำมูลค่า Asset ของลูกค้า สกุลเงินบาท รวมทุก product ในแต่ละวัน มาหาค่าที่สูงสุดของแต่ละบัญชี</t>
  </si>
  <si>
    <t>มี CDB</t>
  </si>
  <si>
    <t>ยังไม่มี
กำลัง explore</t>
  </si>
  <si>
    <r>
      <rPr>
        <sz val="11"/>
        <color rgb="FFFF0000"/>
        <rFont val="Tahoma"/>
        <family val="2"/>
        <scheme val="minor"/>
      </rPr>
      <t>มี SBA</t>
    </r>
    <r>
      <rPr>
        <sz val="11"/>
        <color theme="1"/>
        <rFont val="Tahoma"/>
        <family val="2"/>
        <scheme val="minor"/>
      </rPr>
      <t xml:space="preserve">
ปัจจุบันไม่มีข้อมูลใน CDB</t>
    </r>
  </si>
  <si>
    <t>บัญชีนี้ สามารถมี flag นี้ได้CQ ไม่มีข้อมูล</t>
  </si>
  <si>
    <t>มี temp credit แต่น้อย</t>
  </si>
  <si>
    <t>ต้องใช้ ใช้ข้อมูลจาก table  jcas</t>
  </si>
  <si>
    <r>
      <t xml:space="preserve">initial margin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</si>
  <si>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(initial margin)
</t>
    </r>
    <r>
      <rPr>
        <u/>
        <sz val="11"/>
        <color theme="1"/>
        <rFont val="Tahoma"/>
        <family val="2"/>
        <scheme val="minor"/>
      </rPr>
      <t>since last year</t>
    </r>
  </si>
  <si>
    <r>
      <t xml:space="preserve">equity balance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</si>
  <si>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(equity balance)
</t>
    </r>
    <r>
      <rPr>
        <u/>
        <sz val="11"/>
        <color theme="1"/>
        <rFont val="Tahoma"/>
        <family val="2"/>
        <scheme val="minor"/>
      </rPr>
      <t>since last year</t>
    </r>
  </si>
  <si>
    <r>
      <t xml:space="preserve">Max (initial margin/credit line)
</t>
    </r>
    <r>
      <rPr>
        <u/>
        <sz val="11"/>
        <color theme="1"/>
        <rFont val="Tahoma"/>
        <family val="2"/>
        <scheme val="minor"/>
      </rPr>
      <t>since last year</t>
    </r>
  </si>
  <si>
    <t>ไม่แน่ใจว่าเมื่อก่อนมีไหม</t>
  </si>
  <si>
    <r>
      <rPr>
        <sz val="11"/>
        <color rgb="FFFF0000"/>
        <rFont val="Tahoma"/>
        <family val="2"/>
        <scheme val="minor"/>
      </rPr>
      <t>E-service</t>
    </r>
    <r>
      <rPr>
        <sz val="11"/>
        <color theme="1"/>
        <rFont val="Tahoma"/>
        <family val="2"/>
        <scheme val="minor"/>
      </rPr>
      <t xml:space="preserve">
ปัจจุบันไม่มีข้อมูลใน CDB</t>
    </r>
  </si>
  <si>
    <t>E-service</t>
  </si>
  <si>
    <t>สอบถามพี่วีเพิ่ม</t>
  </si>
  <si>
    <t>ต้องใช้ ดึงจาก tfex client account</t>
  </si>
  <si>
    <t>อ้างอิงที่ eservice ไปใช้</t>
  </si>
  <si>
    <t>e-service ไม่มีอัพเดทวงเงินเยอะๆ มีอัพโหลดเป็นไฟล์</t>
  </si>
  <si>
    <t>TFEX สามารถปรับวงเงินชั่วคราวได้ แต่จาก eservice เป็นถาวร</t>
  </si>
  <si>
    <t>บัญชี off-shore กับ TFEX ต้องส่งข้อมูลขอที่ไหน</t>
  </si>
  <si>
    <t>ปรึกษาเรื่อง utilization</t>
  </si>
  <si>
    <t>ตอนที่จะใส่ข้อมูลในระบบ จะต้องมีการขอข้อมูลอีกรอบ เพื่อเช็คว่าลูกค้ายังไม่ได้มีการปรับวงเงิน หรือว่าซื้อขายเพิ่ม</t>
  </si>
  <si>
    <t>Last change app credit line
(วงเงินถาวร)</t>
  </si>
  <si>
    <t>Y</t>
  </si>
  <si>
    <t>N</t>
  </si>
  <si>
    <t>Y(เลขที่ตลาดซื้อขาย 3)</t>
  </si>
  <si>
    <r>
      <t xml:space="preserve">"- มูลค่า Bond (bond mktval)
- มูลค่า Bond mktval  ของ as of date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</si>
  <si>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มูลค่า Bond (bond mktval)
</t>
    </r>
    <r>
      <rPr>
        <u/>
        <sz val="11"/>
        <color theme="1"/>
        <rFont val="Tahoma"/>
        <family val="2"/>
        <scheme val="minor"/>
      </rPr>
      <t>as of date</t>
    </r>
    <r>
      <rPr>
        <sz val="11"/>
        <color theme="1"/>
        <rFont val="Tahoma"/>
        <family val="2"/>
        <scheme val="minor"/>
      </rPr>
      <t xml:space="preserve">
- นำมูลค่า Bond mktval ในแต่ละวัน มาหาค่าที่สูงสุดของแต่ละบัญชี</t>
    </r>
  </si>
  <si>
    <r>
      <t xml:space="preserve">max (ar_trade/comp_creditline)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%utilization ของวงเงิน ที่คิดจากการนำ AR_trade/comp_creditline ของแต่ละวันมาหาค่าที่สูงสุด</t>
    </r>
  </si>
  <si>
    <r>
      <t xml:space="preserve">THB Eqv. Amount
</t>
    </r>
    <r>
      <rPr>
        <u/>
        <sz val="11"/>
        <color theme="1"/>
        <rFont val="Tahoma"/>
        <family val="2"/>
        <scheme val="minor"/>
      </rPr>
      <t>as of date</t>
    </r>
    <r>
      <rPr>
        <sz val="11"/>
        <color theme="1"/>
        <rFont val="Tahoma"/>
        <family val="2"/>
        <scheme val="minor"/>
      </rPr>
      <t xml:space="preserve">
มูลค่า Asset ของลูกค้า สกุลเงินบาท รวมทุก product</t>
    </r>
  </si>
  <si>
    <r>
      <t xml:space="preserve">Max (THB Eqv. Amount 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นำมูลค่า Asset ของลูกค้า สกุลเงินบาท รวมทุก product ในแต่ละวัน มาหาค่าที่สูงสุดของแต่ละบัญชี</t>
    </r>
  </si>
  <si>
    <r>
      <t xml:space="preserve">Max (มูลค่าซื้อ product ต่างๆ/credit line)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%utilization ของวงเงิน ที่คิดจากการนำ มูลค่าซื้อของทุก product / comp_creditline ของแต่ละวันมาหาค่าที่สูงสุด</t>
    </r>
  </si>
  <si>
    <r>
      <t xml:space="preserve">initial margin (initial margin ของบัญชี)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</si>
  <si>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(initial margin)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(นำ initial margin ของบัญชี ในแต่ละวัน มาหาค่าที่สูงสุดของแต่ละบัญชี)</t>
    </r>
  </si>
  <si>
    <r>
      <t xml:space="preserve">equity balance(equity balance ของบัญชี) 
</t>
    </r>
    <r>
      <rPr>
        <u/>
        <sz val="11"/>
        <color theme="1"/>
        <rFont val="Tahoma"/>
        <family val="2"/>
        <scheme val="minor"/>
      </rPr>
      <t>as of date</t>
    </r>
  </si>
  <si>
    <r>
      <t xml:space="preserve">Max (equity balance)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(นำ equity balance ของบัญชี ในแต่ละวัน มาหาค่าที่สูงสุดของแต่ละบัญชี)</t>
    </r>
  </si>
  <si>
    <r>
      <t xml:space="preserve">Max (initial margin/credit line)
</t>
    </r>
    <r>
      <rPr>
        <u/>
        <sz val="11"/>
        <color theme="1"/>
        <rFont val="Tahoma"/>
        <family val="2"/>
        <scheme val="minor"/>
      </rPr>
      <t>since last year</t>
    </r>
    <r>
      <rPr>
        <sz val="11"/>
        <color theme="1"/>
        <rFont val="Tahoma"/>
        <family val="2"/>
        <scheme val="minor"/>
      </rPr>
      <t xml:space="preserve">
(%utilization ของวงเงิน ที่คิดจากการนำ initial margin/comp_creditline ของแต่ละวันมาหาค่าที่สูงสุด)</t>
    </r>
  </si>
  <si>
    <t>E-service
ปัจจุบันไม่มีข้อมูลใน CDB</t>
  </si>
  <si>
    <t>*Y</t>
  </si>
  <si>
    <r>
      <t xml:space="preserve">มูลค่าหุ้นหลัง Haircut + เงินสด
</t>
    </r>
    <r>
      <rPr>
        <u/>
        <sz val="11"/>
        <color rgb="FFFF0000"/>
        <rFont val="Tahoma"/>
        <family val="2"/>
        <scheme val="minor"/>
      </rPr>
      <t>as of date</t>
    </r>
  </si>
  <si>
    <r>
      <t xml:space="preserve">Max (มูลค่าหุ้นหลัง Haircut + เงินสด)
</t>
    </r>
    <r>
      <rPr>
        <u/>
        <sz val="11"/>
        <color rgb="FFFF0000"/>
        <rFont val="Tahoma"/>
        <family val="2"/>
        <scheme val="minor"/>
      </rPr>
      <t>since last 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</si>
</sst>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u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rgb="FFFF0000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8" borderId="1" xfId="0" applyFill="1" applyBorder="1"/>
    <xf numFmtId="0" fontId="0" fillId="9" borderId="1" xfId="0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1687285</xdr:colOff>
      <xdr:row>6</xdr:row>
      <xdr:rowOff>39488</xdr:rowOff>
    </xdr:from>
    <xdr:to>
      <xdr:col>32</xdr:col>
      <xdr:colOff>206522</xdr:colOff>
      <xdr:row>47</xdr:row>
      <xdr:rowOff>5489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908D6-C421-20DB-15C4-D5FF630CB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1" y="1100845"/>
          <a:ext cx="16997737" cy="8103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6D3E-08E4-4344-8514-F7AC8C2FF118}">
  <sheetPr codeName="Sheet1"/>
  <dimension ref="B2:Z10"/>
  <sheetViews>
    <sheetView tabSelected="1" zoomScale="55" zoomScaleNormal="55" workbookViewId="0">
      <selection activeCell="K5" sqref="K5"/>
    </sheetView>
  </sheetViews>
  <sheetFormatPr defaultRowHeight="14" x14ac:dyDescent="0.3"/>
  <cols>
    <col min="2" max="2" width="18.25" bestFit="1" customWidth="1"/>
    <col min="3" max="3" width="9.25" bestFit="1" customWidth="1"/>
    <col min="4" max="4" width="8.83203125" bestFit="1" customWidth="1"/>
    <col min="5" max="5" width="9.33203125" bestFit="1" customWidth="1"/>
    <col min="6" max="6" width="7.83203125" bestFit="1" customWidth="1"/>
    <col min="7" max="7" width="18" bestFit="1" customWidth="1"/>
    <col min="8" max="8" width="8" bestFit="1" customWidth="1"/>
    <col min="9" max="9" width="14.75" bestFit="1" customWidth="1"/>
    <col min="10" max="10" width="16" bestFit="1" customWidth="1"/>
    <col min="11" max="11" width="21.08203125" bestFit="1" customWidth="1"/>
    <col min="12" max="15" width="9.08203125" bestFit="1" customWidth="1"/>
    <col min="16" max="16" width="8.33203125" bestFit="1" customWidth="1"/>
    <col min="17" max="17" width="10.83203125" bestFit="1" customWidth="1"/>
    <col min="18" max="18" width="18.08203125" bestFit="1" customWidth="1"/>
    <col min="19" max="19" width="32.4140625" bestFit="1" customWidth="1"/>
    <col min="20" max="20" width="29.25" bestFit="1" customWidth="1"/>
    <col min="21" max="21" width="25.08203125" bestFit="1" customWidth="1"/>
    <col min="22" max="22" width="18.75" customWidth="1"/>
    <col min="23" max="23" width="21.33203125" customWidth="1"/>
    <col min="24" max="24" width="14.75" customWidth="1"/>
    <col min="25" max="26" width="12.25" bestFit="1" customWidth="1"/>
  </cols>
  <sheetData>
    <row r="2" spans="2:26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Y2" s="25" t="s">
        <v>112</v>
      </c>
      <c r="Z2" s="25" t="s">
        <v>112</v>
      </c>
    </row>
    <row r="3" spans="2:26" ht="84" x14ac:dyDescent="0.3">
      <c r="C3" s="11" t="s">
        <v>9</v>
      </c>
      <c r="D3" s="21" t="s">
        <v>13</v>
      </c>
      <c r="E3" s="21" t="s">
        <v>15</v>
      </c>
      <c r="F3" s="21" t="s">
        <v>17</v>
      </c>
      <c r="G3" s="21" t="s">
        <v>19</v>
      </c>
      <c r="H3" s="21" t="s">
        <v>21</v>
      </c>
      <c r="I3" s="21" t="s">
        <v>23</v>
      </c>
      <c r="J3" s="21" t="s">
        <v>25</v>
      </c>
      <c r="K3" s="21" t="s">
        <v>27</v>
      </c>
      <c r="L3" s="21" t="s">
        <v>29</v>
      </c>
      <c r="M3" s="21" t="s">
        <v>31</v>
      </c>
      <c r="N3" s="21" t="s">
        <v>32</v>
      </c>
      <c r="O3" s="21" t="s">
        <v>33</v>
      </c>
      <c r="P3" s="21" t="s">
        <v>34</v>
      </c>
      <c r="Q3" s="21" t="s">
        <v>70</v>
      </c>
      <c r="R3" s="21" t="s">
        <v>37</v>
      </c>
      <c r="S3" s="21" t="s">
        <v>39</v>
      </c>
      <c r="T3" s="21" t="s">
        <v>62</v>
      </c>
      <c r="U3" s="21" t="s">
        <v>64</v>
      </c>
      <c r="V3" s="31" t="s">
        <v>175</v>
      </c>
      <c r="W3" s="31" t="s">
        <v>176</v>
      </c>
      <c r="X3" s="21" t="s">
        <v>49</v>
      </c>
      <c r="Y3" s="23" t="s">
        <v>115</v>
      </c>
      <c r="Z3" s="23" t="s">
        <v>116</v>
      </c>
    </row>
    <row r="4" spans="2:26" ht="126" x14ac:dyDescent="0.3">
      <c r="B4" s="11" t="s">
        <v>1</v>
      </c>
      <c r="C4" s="2" t="s">
        <v>58</v>
      </c>
      <c r="D4" s="2" t="s">
        <v>14</v>
      </c>
      <c r="E4" s="2" t="s">
        <v>16</v>
      </c>
      <c r="F4" s="27" t="s">
        <v>69</v>
      </c>
      <c r="G4" s="2" t="s">
        <v>60</v>
      </c>
      <c r="H4" s="2" t="s">
        <v>22</v>
      </c>
      <c r="I4" s="2" t="s">
        <v>61</v>
      </c>
      <c r="J4" s="2" t="s">
        <v>26</v>
      </c>
      <c r="K4" s="2" t="s">
        <v>28</v>
      </c>
      <c r="L4" s="2" t="s">
        <v>30</v>
      </c>
      <c r="M4" s="2" t="s">
        <v>30</v>
      </c>
      <c r="N4" s="2" t="s">
        <v>30</v>
      </c>
      <c r="O4" s="2" t="s">
        <v>30</v>
      </c>
      <c r="P4" s="2"/>
      <c r="Q4" s="2" t="s">
        <v>36</v>
      </c>
      <c r="R4" s="2" t="s">
        <v>38</v>
      </c>
      <c r="S4" s="2" t="s">
        <v>117</v>
      </c>
      <c r="T4" s="2" t="s">
        <v>63</v>
      </c>
      <c r="U4" s="2" t="s">
        <v>65</v>
      </c>
      <c r="V4" s="47" t="s">
        <v>46</v>
      </c>
      <c r="W4" s="47" t="s">
        <v>71</v>
      </c>
      <c r="X4" s="27" t="s">
        <v>50</v>
      </c>
      <c r="Y4" s="27" t="s">
        <v>118</v>
      </c>
      <c r="Z4" s="27" t="s">
        <v>119</v>
      </c>
    </row>
    <row r="5" spans="2:26" ht="196" x14ac:dyDescent="0.3">
      <c r="B5" s="11" t="s">
        <v>57</v>
      </c>
      <c r="C5" s="4" t="s">
        <v>159</v>
      </c>
      <c r="D5" s="4" t="s">
        <v>159</v>
      </c>
      <c r="E5" s="4" t="s">
        <v>159</v>
      </c>
      <c r="F5" s="5" t="s">
        <v>161</v>
      </c>
      <c r="G5" s="4" t="s">
        <v>159</v>
      </c>
      <c r="H5" s="4" t="s">
        <v>159</v>
      </c>
      <c r="I5" s="4" t="s">
        <v>159</v>
      </c>
      <c r="J5" s="4" t="s">
        <v>159</v>
      </c>
      <c r="K5" s="4" t="s">
        <v>159</v>
      </c>
      <c r="L5" s="4" t="s">
        <v>159</v>
      </c>
      <c r="M5" s="4" t="s">
        <v>159</v>
      </c>
      <c r="N5" s="45" t="s">
        <v>160</v>
      </c>
      <c r="O5" s="45" t="s">
        <v>160</v>
      </c>
      <c r="P5" s="45" t="s">
        <v>160</v>
      </c>
      <c r="Q5" s="4" t="s">
        <v>159</v>
      </c>
      <c r="R5" s="4" t="s">
        <v>159</v>
      </c>
      <c r="S5" s="45" t="s">
        <v>160</v>
      </c>
      <c r="T5" s="4" t="s">
        <v>159</v>
      </c>
      <c r="U5" s="4" t="s">
        <v>159</v>
      </c>
      <c r="V5" s="5" t="s">
        <v>162</v>
      </c>
      <c r="W5" s="5" t="s">
        <v>163</v>
      </c>
      <c r="X5" s="45" t="s">
        <v>160</v>
      </c>
      <c r="Y5" s="23" t="s">
        <v>164</v>
      </c>
      <c r="Z5" s="45" t="s">
        <v>160</v>
      </c>
    </row>
    <row r="6" spans="2:26" ht="42" x14ac:dyDescent="0.3">
      <c r="B6" s="11" t="s">
        <v>68</v>
      </c>
      <c r="C6" s="4" t="s">
        <v>159</v>
      </c>
      <c r="D6" s="4" t="s">
        <v>159</v>
      </c>
      <c r="E6" s="4" t="s">
        <v>159</v>
      </c>
      <c r="F6" s="4" t="s">
        <v>159</v>
      </c>
      <c r="G6" s="4" t="s">
        <v>159</v>
      </c>
      <c r="H6" s="4" t="s">
        <v>159</v>
      </c>
      <c r="I6" s="4" t="s">
        <v>159</v>
      </c>
      <c r="J6" s="4" t="s">
        <v>159</v>
      </c>
      <c r="K6" s="4" t="s">
        <v>159</v>
      </c>
      <c r="L6" s="4" t="s">
        <v>159</v>
      </c>
      <c r="M6" s="4" t="s">
        <v>159</v>
      </c>
      <c r="N6" s="4" t="s">
        <v>159</v>
      </c>
      <c r="O6" s="4" t="s">
        <v>159</v>
      </c>
      <c r="P6" s="5" t="s">
        <v>34</v>
      </c>
      <c r="Q6" s="4" t="s">
        <v>159</v>
      </c>
      <c r="R6" s="4" t="s">
        <v>159</v>
      </c>
      <c r="S6" s="45" t="s">
        <v>160</v>
      </c>
      <c r="T6" s="4" t="s">
        <v>159</v>
      </c>
      <c r="U6" s="4" t="s">
        <v>159</v>
      </c>
      <c r="V6" s="4" t="s">
        <v>159</v>
      </c>
      <c r="W6" s="4" t="s">
        <v>159</v>
      </c>
      <c r="X6" s="4" t="s">
        <v>159</v>
      </c>
      <c r="Y6" s="24" t="s">
        <v>159</v>
      </c>
      <c r="Z6" s="24" t="s">
        <v>159</v>
      </c>
    </row>
    <row r="7" spans="2:26" ht="224" x14ac:dyDescent="0.3">
      <c r="B7" s="48" t="s">
        <v>72</v>
      </c>
      <c r="C7" s="4" t="s">
        <v>159</v>
      </c>
      <c r="D7" s="4" t="s">
        <v>159</v>
      </c>
      <c r="E7" s="45" t="s">
        <v>160</v>
      </c>
      <c r="F7" s="45" t="s">
        <v>160</v>
      </c>
      <c r="G7" s="4" t="s">
        <v>159</v>
      </c>
      <c r="H7" s="4" t="s">
        <v>159</v>
      </c>
      <c r="I7" s="4" t="s">
        <v>159</v>
      </c>
      <c r="J7" s="4" t="s">
        <v>159</v>
      </c>
      <c r="K7" s="4" t="s">
        <v>159</v>
      </c>
      <c r="L7" s="4" t="s">
        <v>159</v>
      </c>
      <c r="M7" s="4" t="s">
        <v>159</v>
      </c>
      <c r="N7" s="45" t="s">
        <v>160</v>
      </c>
      <c r="O7" s="45" t="s">
        <v>160</v>
      </c>
      <c r="P7" s="45" t="s">
        <v>160</v>
      </c>
      <c r="Q7" s="4" t="s">
        <v>159</v>
      </c>
      <c r="R7" s="4" t="s">
        <v>159</v>
      </c>
      <c r="S7" s="45" t="s">
        <v>160</v>
      </c>
      <c r="T7" s="4" t="s">
        <v>159</v>
      </c>
      <c r="U7" s="4" t="s">
        <v>159</v>
      </c>
      <c r="V7" s="5" t="s">
        <v>165</v>
      </c>
      <c r="W7" s="5" t="s">
        <v>166</v>
      </c>
      <c r="X7" s="45" t="s">
        <v>160</v>
      </c>
      <c r="Y7" s="23" t="s">
        <v>167</v>
      </c>
      <c r="Z7" s="45" t="s">
        <v>160</v>
      </c>
    </row>
    <row r="8" spans="2:26" ht="42" x14ac:dyDescent="0.3">
      <c r="B8" s="49"/>
      <c r="C8" s="11" t="s">
        <v>121</v>
      </c>
      <c r="D8" s="11" t="s">
        <v>121</v>
      </c>
      <c r="E8" s="1"/>
      <c r="F8" s="1"/>
      <c r="G8" s="11" t="s">
        <v>136</v>
      </c>
      <c r="H8" s="11" t="s">
        <v>136</v>
      </c>
      <c r="I8" s="11" t="s">
        <v>136</v>
      </c>
      <c r="J8" s="11" t="s">
        <v>136</v>
      </c>
      <c r="K8" s="11" t="s">
        <v>136</v>
      </c>
      <c r="L8" s="31" t="s">
        <v>137</v>
      </c>
      <c r="M8" s="31" t="s">
        <v>137</v>
      </c>
      <c r="N8" s="1"/>
      <c r="O8" s="1"/>
      <c r="P8" s="1"/>
      <c r="Q8" s="11" t="s">
        <v>136</v>
      </c>
      <c r="R8" s="11" t="s">
        <v>136</v>
      </c>
      <c r="S8" s="12"/>
      <c r="T8" s="21" t="s">
        <v>138</v>
      </c>
      <c r="U8" s="11" t="s">
        <v>136</v>
      </c>
      <c r="V8" s="11" t="s">
        <v>136</v>
      </c>
      <c r="W8" s="11" t="s">
        <v>136</v>
      </c>
      <c r="Y8" s="24" t="s">
        <v>136</v>
      </c>
      <c r="Z8" s="12"/>
    </row>
    <row r="9" spans="2:26" ht="196" x14ac:dyDescent="0.3">
      <c r="B9" s="48" t="s">
        <v>77</v>
      </c>
      <c r="C9" s="4" t="s">
        <v>159</v>
      </c>
      <c r="D9" s="4" t="s">
        <v>159</v>
      </c>
      <c r="E9" s="45" t="s">
        <v>160</v>
      </c>
      <c r="F9" s="45" t="s">
        <v>160</v>
      </c>
      <c r="G9" s="4" t="s">
        <v>159</v>
      </c>
      <c r="H9" s="4" t="s">
        <v>159</v>
      </c>
      <c r="I9" s="4" t="s">
        <v>159</v>
      </c>
      <c r="J9" s="4" t="s">
        <v>159</v>
      </c>
      <c r="K9" s="4" t="s">
        <v>159</v>
      </c>
      <c r="L9" s="4" t="s">
        <v>159</v>
      </c>
      <c r="M9" s="4" t="s">
        <v>159</v>
      </c>
      <c r="N9" s="45" t="s">
        <v>160</v>
      </c>
      <c r="O9" s="45" t="s">
        <v>160</v>
      </c>
      <c r="P9" s="45" t="s">
        <v>160</v>
      </c>
      <c r="Q9" s="4" t="s">
        <v>159</v>
      </c>
      <c r="R9" s="4" t="s">
        <v>159</v>
      </c>
      <c r="S9" s="45" t="s">
        <v>160</v>
      </c>
      <c r="T9" s="46" t="s">
        <v>174</v>
      </c>
      <c r="U9" s="4" t="s">
        <v>159</v>
      </c>
      <c r="V9" s="5" t="s">
        <v>168</v>
      </c>
      <c r="W9" s="5" t="s">
        <v>169</v>
      </c>
      <c r="X9" s="5" t="s">
        <v>170</v>
      </c>
      <c r="Y9" s="5" t="s">
        <v>171</v>
      </c>
      <c r="Z9" s="23" t="s">
        <v>172</v>
      </c>
    </row>
    <row r="10" spans="2:26" ht="28" x14ac:dyDescent="0.3">
      <c r="B10" s="49"/>
      <c r="C10" s="11" t="s">
        <v>121</v>
      </c>
      <c r="D10" s="11" t="s">
        <v>121</v>
      </c>
      <c r="E10" s="1"/>
      <c r="F10" s="1"/>
      <c r="G10" s="11" t="s">
        <v>136</v>
      </c>
      <c r="H10" s="11" t="s">
        <v>136</v>
      </c>
      <c r="I10" s="11" t="s">
        <v>136</v>
      </c>
      <c r="J10" s="11" t="s">
        <v>136</v>
      </c>
      <c r="K10" s="11" t="s">
        <v>136</v>
      </c>
      <c r="L10" s="22" t="s">
        <v>147</v>
      </c>
      <c r="M10" s="22" t="s">
        <v>147</v>
      </c>
      <c r="N10" s="1"/>
      <c r="O10" s="1"/>
      <c r="P10" s="1"/>
      <c r="Q10" s="11" t="s">
        <v>136</v>
      </c>
      <c r="R10" s="11" t="s">
        <v>136</v>
      </c>
      <c r="S10" s="12"/>
      <c r="T10" s="31" t="s">
        <v>173</v>
      </c>
      <c r="U10" s="22" t="s">
        <v>149</v>
      </c>
      <c r="V10" s="11" t="s">
        <v>136</v>
      </c>
      <c r="W10" s="11" t="s">
        <v>136</v>
      </c>
      <c r="X10" s="11" t="s">
        <v>136</v>
      </c>
      <c r="Y10" s="11" t="s">
        <v>136</v>
      </c>
      <c r="Z10" s="11" t="s">
        <v>136</v>
      </c>
    </row>
  </sheetData>
  <mergeCells count="2">
    <mergeCell ref="B7:B8"/>
    <mergeCell ref="B9:B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0.59999389629810485"/>
  </sheetPr>
  <dimension ref="A3:Z49"/>
  <sheetViews>
    <sheetView showGridLines="0" zoomScale="70" zoomScaleNormal="70" workbookViewId="0">
      <pane xSplit="1" topLeftCell="S1" activePane="topRight" state="frozen"/>
      <selection pane="topRight" activeCell="V44" sqref="V44:X45"/>
    </sheetView>
  </sheetViews>
  <sheetFormatPr defaultRowHeight="14" x14ac:dyDescent="0.3"/>
  <cols>
    <col min="1" max="1" width="19.83203125" customWidth="1"/>
    <col min="2" max="2" width="8.83203125" style="1" customWidth="1"/>
    <col min="3" max="4" width="9.25" style="1" customWidth="1"/>
    <col min="5" max="9" width="12.08203125" style="1" customWidth="1"/>
    <col min="10" max="10" width="16.25" style="1" customWidth="1"/>
    <col min="11" max="11" width="14.83203125" style="1" customWidth="1"/>
    <col min="12" max="12" width="18.58203125" style="1" customWidth="1"/>
    <col min="13" max="13" width="11.33203125" style="1" customWidth="1"/>
    <col min="14" max="14" width="14.08203125" style="1" customWidth="1"/>
    <col min="15" max="15" width="17.08203125" style="1" customWidth="1"/>
    <col min="16" max="16" width="11.75" style="1" customWidth="1"/>
    <col min="17" max="17" width="17.58203125" customWidth="1"/>
    <col min="18" max="18" width="34.5" bestFit="1" customWidth="1"/>
    <col min="19" max="19" width="28.58203125" customWidth="1"/>
    <col min="20" max="20" width="24.4140625" customWidth="1"/>
    <col min="21" max="21" width="22.08203125" customWidth="1"/>
    <col min="22" max="22" width="30.58203125" customWidth="1"/>
    <col min="23" max="23" width="22.58203125" customWidth="1"/>
    <col min="24" max="24" width="29.08203125" customWidth="1"/>
    <col min="25" max="26" width="29.58203125" customWidth="1"/>
    <col min="27" max="27" width="20.08203125" customWidth="1"/>
  </cols>
  <sheetData>
    <row r="3" spans="1:25" x14ac:dyDescent="0.3">
      <c r="B3" s="1" t="s">
        <v>97</v>
      </c>
      <c r="F3" s="1" t="s">
        <v>98</v>
      </c>
      <c r="U3" t="s">
        <v>99</v>
      </c>
      <c r="W3" t="s">
        <v>100</v>
      </c>
    </row>
    <row r="4" spans="1:25" x14ac:dyDescent="0.3">
      <c r="B4" s="1" t="s">
        <v>101</v>
      </c>
      <c r="F4" s="1" t="s">
        <v>102</v>
      </c>
    </row>
    <row r="6" spans="1:25" x14ac:dyDescent="0.3">
      <c r="A6" s="50" t="s">
        <v>103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x14ac:dyDescent="0.3">
      <c r="O7" s="6" t="s">
        <v>104</v>
      </c>
    </row>
    <row r="8" spans="1:25" ht="56" x14ac:dyDescent="0.3">
      <c r="D8" s="6" t="s">
        <v>105</v>
      </c>
      <c r="H8" s="6" t="s">
        <v>106</v>
      </c>
      <c r="L8" s="1" t="s">
        <v>107</v>
      </c>
      <c r="N8" s="8" t="s">
        <v>108</v>
      </c>
      <c r="O8" s="19" t="s">
        <v>109</v>
      </c>
      <c r="P8" s="6"/>
      <c r="R8" s="7" t="s">
        <v>110</v>
      </c>
      <c r="V8" s="18" t="s">
        <v>111</v>
      </c>
    </row>
    <row r="9" spans="1:25" x14ac:dyDescent="0.3">
      <c r="A9" t="s">
        <v>1</v>
      </c>
      <c r="X9" s="25" t="s">
        <v>112</v>
      </c>
      <c r="Y9" s="25" t="s">
        <v>112</v>
      </c>
    </row>
    <row r="10" spans="1:25" ht="76" customHeight="1" x14ac:dyDescent="0.3">
      <c r="B10" s="4" t="s">
        <v>9</v>
      </c>
      <c r="C10" s="5" t="s">
        <v>13</v>
      </c>
      <c r="D10" s="5" t="s">
        <v>15</v>
      </c>
      <c r="E10" s="5" t="s">
        <v>17</v>
      </c>
      <c r="F10" s="5" t="s">
        <v>19</v>
      </c>
      <c r="G10" s="5" t="s">
        <v>21</v>
      </c>
      <c r="H10" s="5" t="s">
        <v>23</v>
      </c>
      <c r="I10" s="5" t="s">
        <v>25</v>
      </c>
      <c r="J10" s="5" t="s">
        <v>27</v>
      </c>
      <c r="K10" s="5" t="s">
        <v>29</v>
      </c>
      <c r="L10" s="5" t="s">
        <v>31</v>
      </c>
      <c r="M10" s="5" t="s">
        <v>32</v>
      </c>
      <c r="N10" s="5" t="s">
        <v>33</v>
      </c>
      <c r="O10" s="5" t="s">
        <v>34</v>
      </c>
      <c r="P10" s="5" t="s">
        <v>70</v>
      </c>
      <c r="Q10" s="5" t="s">
        <v>37</v>
      </c>
      <c r="R10" s="5" t="s">
        <v>39</v>
      </c>
      <c r="S10" s="5" t="s">
        <v>62</v>
      </c>
      <c r="T10" s="5" t="s">
        <v>64</v>
      </c>
      <c r="U10" s="5" t="s">
        <v>113</v>
      </c>
      <c r="V10" s="5" t="s">
        <v>114</v>
      </c>
      <c r="W10" s="5" t="s">
        <v>49</v>
      </c>
      <c r="X10" s="23" t="s">
        <v>115</v>
      </c>
      <c r="Y10" s="23" t="s">
        <v>116</v>
      </c>
    </row>
    <row r="11" spans="1:25" ht="42" x14ac:dyDescent="0.3">
      <c r="A11" s="2" t="s">
        <v>2</v>
      </c>
      <c r="B11" s="2" t="s">
        <v>58</v>
      </c>
      <c r="C11" s="2" t="s">
        <v>14</v>
      </c>
      <c r="D11" s="2" t="s">
        <v>16</v>
      </c>
      <c r="E11" s="27" t="s">
        <v>69</v>
      </c>
      <c r="F11" s="2" t="s">
        <v>60</v>
      </c>
      <c r="G11" s="2" t="s">
        <v>22</v>
      </c>
      <c r="H11" s="2" t="s">
        <v>61</v>
      </c>
      <c r="I11" s="2" t="s">
        <v>26</v>
      </c>
      <c r="J11" s="2" t="s">
        <v>28</v>
      </c>
      <c r="K11" s="2" t="s">
        <v>30</v>
      </c>
      <c r="L11" s="2" t="s">
        <v>30</v>
      </c>
      <c r="M11" s="2" t="s">
        <v>30</v>
      </c>
      <c r="N11" s="2" t="s">
        <v>30</v>
      </c>
      <c r="O11" s="2"/>
      <c r="P11" s="2" t="s">
        <v>36</v>
      </c>
      <c r="Q11" s="2" t="s">
        <v>38</v>
      </c>
      <c r="R11" s="2" t="s">
        <v>117</v>
      </c>
      <c r="S11" s="2" t="s">
        <v>63</v>
      </c>
      <c r="T11" s="2" t="s">
        <v>65</v>
      </c>
      <c r="U11" s="27" t="s">
        <v>46</v>
      </c>
      <c r="V11" s="27" t="s">
        <v>71</v>
      </c>
      <c r="W11" s="27" t="s">
        <v>50</v>
      </c>
      <c r="X11" s="27" t="s">
        <v>118</v>
      </c>
      <c r="Y11" s="27" t="s">
        <v>119</v>
      </c>
    </row>
    <row r="12" spans="1:25" x14ac:dyDescent="0.3">
      <c r="A12" s="3" t="s">
        <v>120</v>
      </c>
      <c r="B12" s="11" t="s">
        <v>121</v>
      </c>
      <c r="C12" s="9" t="s">
        <v>121</v>
      </c>
      <c r="D12" s="9" t="s">
        <v>121</v>
      </c>
      <c r="E12" s="9" t="s">
        <v>121</v>
      </c>
      <c r="F12" s="9" t="s">
        <v>121</v>
      </c>
      <c r="G12" s="9" t="s">
        <v>121</v>
      </c>
      <c r="H12" s="9" t="s">
        <v>121</v>
      </c>
      <c r="I12" s="9" t="s">
        <v>121</v>
      </c>
      <c r="J12" s="9" t="s">
        <v>121</v>
      </c>
      <c r="K12" s="9" t="s">
        <v>121</v>
      </c>
      <c r="L12" s="9" t="s">
        <v>121</v>
      </c>
      <c r="M12" s="9" t="s">
        <v>121</v>
      </c>
      <c r="N12" s="9" t="s">
        <v>121</v>
      </c>
      <c r="O12" s="9" t="s">
        <v>121</v>
      </c>
      <c r="P12" s="9" t="s">
        <v>121</v>
      </c>
      <c r="Q12" s="9" t="s">
        <v>121</v>
      </c>
      <c r="R12" s="9" t="s">
        <v>121</v>
      </c>
      <c r="S12" s="9" t="s">
        <v>121</v>
      </c>
      <c r="T12" s="9" t="s">
        <v>121</v>
      </c>
      <c r="U12" s="9" t="s">
        <v>121</v>
      </c>
      <c r="V12" s="9" t="s">
        <v>121</v>
      </c>
      <c r="W12" s="9" t="s">
        <v>121</v>
      </c>
    </row>
    <row r="14" spans="1:25" x14ac:dyDescent="0.3">
      <c r="A14" t="s">
        <v>57</v>
      </c>
    </row>
    <row r="15" spans="1:25" ht="42" x14ac:dyDescent="0.3">
      <c r="B15" s="4" t="s">
        <v>9</v>
      </c>
      <c r="C15" s="5" t="s">
        <v>13</v>
      </c>
      <c r="D15" s="5" t="s">
        <v>15</v>
      </c>
      <c r="E15" s="5" t="s">
        <v>17</v>
      </c>
      <c r="F15" s="5" t="s">
        <v>19</v>
      </c>
      <c r="G15" s="5" t="s">
        <v>21</v>
      </c>
      <c r="H15" s="5" t="s">
        <v>23</v>
      </c>
      <c r="I15" s="5" t="s">
        <v>25</v>
      </c>
      <c r="J15" s="5" t="s">
        <v>27</v>
      </c>
      <c r="K15" s="5" t="s">
        <v>29</v>
      </c>
      <c r="L15" s="5" t="s">
        <v>31</v>
      </c>
      <c r="P15" s="5" t="s">
        <v>70</v>
      </c>
      <c r="Q15" s="5" t="s">
        <v>37</v>
      </c>
      <c r="S15" s="5" t="s">
        <v>62</v>
      </c>
      <c r="T15" s="5" t="s">
        <v>64</v>
      </c>
      <c r="U15" s="5" t="s">
        <v>122</v>
      </c>
      <c r="V15" s="5" t="s">
        <v>122</v>
      </c>
      <c r="X15" s="23" t="s">
        <v>123</v>
      </c>
    </row>
    <row r="16" spans="1:25" ht="42" x14ac:dyDescent="0.3">
      <c r="A16" s="2" t="s">
        <v>2</v>
      </c>
      <c r="B16" s="2" t="s">
        <v>58</v>
      </c>
      <c r="C16" s="2" t="s">
        <v>14</v>
      </c>
      <c r="D16" s="2" t="s">
        <v>16</v>
      </c>
      <c r="E16" s="27" t="s">
        <v>124</v>
      </c>
      <c r="F16" s="2" t="s">
        <v>60</v>
      </c>
      <c r="G16" s="2" t="s">
        <v>22</v>
      </c>
      <c r="H16" s="2" t="s">
        <v>61</v>
      </c>
      <c r="I16" s="2" t="s">
        <v>26</v>
      </c>
      <c r="J16" s="2" t="s">
        <v>28</v>
      </c>
      <c r="K16" s="2" t="s">
        <v>30</v>
      </c>
      <c r="L16" s="2" t="s">
        <v>30</v>
      </c>
      <c r="P16" s="2" t="s">
        <v>36</v>
      </c>
      <c r="Q16" s="2" t="s">
        <v>38</v>
      </c>
      <c r="S16" s="2" t="s">
        <v>63</v>
      </c>
      <c r="T16" s="2" t="s">
        <v>65</v>
      </c>
      <c r="U16" s="27" t="s">
        <v>66</v>
      </c>
      <c r="V16" s="27" t="s">
        <v>67</v>
      </c>
      <c r="X16" s="26" t="s">
        <v>118</v>
      </c>
    </row>
    <row r="17" spans="1:26" x14ac:dyDescent="0.3">
      <c r="A17" s="3" t="s">
        <v>120</v>
      </c>
      <c r="B17" s="11" t="s">
        <v>121</v>
      </c>
      <c r="C17" s="9" t="s">
        <v>121</v>
      </c>
      <c r="D17" s="9" t="s">
        <v>121</v>
      </c>
      <c r="E17" s="9" t="s">
        <v>121</v>
      </c>
      <c r="F17" s="9" t="s">
        <v>121</v>
      </c>
      <c r="G17" s="9" t="s">
        <v>121</v>
      </c>
      <c r="H17" s="9" t="s">
        <v>121</v>
      </c>
      <c r="I17" s="9" t="s">
        <v>121</v>
      </c>
      <c r="J17" s="9" t="s">
        <v>121</v>
      </c>
      <c r="K17" s="9" t="s">
        <v>121</v>
      </c>
      <c r="L17" s="9" t="s">
        <v>121</v>
      </c>
      <c r="P17" s="9" t="s">
        <v>121</v>
      </c>
      <c r="Q17" s="9" t="s">
        <v>121</v>
      </c>
      <c r="S17" s="9" t="s">
        <v>121</v>
      </c>
      <c r="T17" s="9" t="s">
        <v>121</v>
      </c>
      <c r="U17" s="9" t="s">
        <v>121</v>
      </c>
      <c r="V17" s="14" t="s">
        <v>125</v>
      </c>
    </row>
    <row r="18" spans="1:26" x14ac:dyDescent="0.3">
      <c r="V18" s="20"/>
    </row>
    <row r="19" spans="1:26" x14ac:dyDescent="0.3">
      <c r="A19" t="s">
        <v>68</v>
      </c>
      <c r="T19" t="s">
        <v>126</v>
      </c>
    </row>
    <row r="20" spans="1:26" ht="42" x14ac:dyDescent="0.3">
      <c r="B20" s="4" t="s">
        <v>9</v>
      </c>
      <c r="C20" s="5" t="s">
        <v>13</v>
      </c>
      <c r="D20" s="5" t="s">
        <v>15</v>
      </c>
      <c r="E20" s="5" t="s">
        <v>17</v>
      </c>
      <c r="F20" s="5" t="s">
        <v>19</v>
      </c>
      <c r="G20" s="5" t="s">
        <v>21</v>
      </c>
      <c r="H20" s="5" t="s">
        <v>23</v>
      </c>
      <c r="I20" s="5" t="s">
        <v>25</v>
      </c>
      <c r="J20" s="5" t="s">
        <v>27</v>
      </c>
      <c r="K20" s="5" t="s">
        <v>29</v>
      </c>
      <c r="L20" s="5" t="s">
        <v>31</v>
      </c>
      <c r="M20" s="5" t="s">
        <v>32</v>
      </c>
      <c r="N20" s="5" t="s">
        <v>33</v>
      </c>
      <c r="O20" s="5" t="s">
        <v>34</v>
      </c>
      <c r="P20" s="5" t="s">
        <v>70</v>
      </c>
      <c r="Q20" s="5" t="s">
        <v>37</v>
      </c>
      <c r="S20" s="5" t="s">
        <v>62</v>
      </c>
      <c r="T20" s="5" t="s">
        <v>64</v>
      </c>
      <c r="U20" s="5" t="s">
        <v>113</v>
      </c>
      <c r="V20" s="5" t="s">
        <v>114</v>
      </c>
      <c r="W20" s="5" t="s">
        <v>49</v>
      </c>
      <c r="X20" s="23" t="s">
        <v>115</v>
      </c>
      <c r="Y20" s="23" t="s">
        <v>116</v>
      </c>
    </row>
    <row r="21" spans="1:26" ht="42" x14ac:dyDescent="0.3">
      <c r="A21" s="2" t="s">
        <v>2</v>
      </c>
      <c r="B21" s="2" t="s">
        <v>58</v>
      </c>
      <c r="C21" s="2" t="s">
        <v>14</v>
      </c>
      <c r="D21" s="2" t="s">
        <v>16</v>
      </c>
      <c r="E21" s="27" t="s">
        <v>69</v>
      </c>
      <c r="F21" s="2" t="s">
        <v>60</v>
      </c>
      <c r="G21" s="2" t="s">
        <v>22</v>
      </c>
      <c r="H21" s="2" t="s">
        <v>61</v>
      </c>
      <c r="I21" s="2" t="s">
        <v>26</v>
      </c>
      <c r="J21" s="2" t="s">
        <v>28</v>
      </c>
      <c r="K21" s="2" t="s">
        <v>30</v>
      </c>
      <c r="L21" s="2" t="s">
        <v>30</v>
      </c>
      <c r="M21" s="2" t="s">
        <v>30</v>
      </c>
      <c r="N21" s="2" t="s">
        <v>30</v>
      </c>
      <c r="O21" s="2"/>
      <c r="P21" s="2" t="s">
        <v>36</v>
      </c>
      <c r="Q21" s="2" t="s">
        <v>38</v>
      </c>
      <c r="S21" s="2" t="s">
        <v>63</v>
      </c>
      <c r="T21" s="2" t="s">
        <v>65</v>
      </c>
      <c r="U21" s="27" t="s">
        <v>46</v>
      </c>
      <c r="V21" s="27" t="s">
        <v>71</v>
      </c>
      <c r="W21" s="27" t="s">
        <v>50</v>
      </c>
      <c r="X21" s="26" t="s">
        <v>118</v>
      </c>
      <c r="Y21" s="26" t="s">
        <v>119</v>
      </c>
    </row>
    <row r="22" spans="1:26" s="12" customFormat="1" ht="28" x14ac:dyDescent="0.3">
      <c r="A22" s="10" t="s">
        <v>120</v>
      </c>
      <c r="B22" s="11" t="s">
        <v>121</v>
      </c>
      <c r="C22" s="11" t="s">
        <v>121</v>
      </c>
      <c r="D22" s="11" t="s">
        <v>121</v>
      </c>
      <c r="E22" s="11" t="s">
        <v>121</v>
      </c>
      <c r="F22" s="11" t="s">
        <v>121</v>
      </c>
      <c r="G22" s="11" t="s">
        <v>121</v>
      </c>
      <c r="H22" s="11" t="s">
        <v>121</v>
      </c>
      <c r="I22" s="11" t="s">
        <v>121</v>
      </c>
      <c r="J22" s="11" t="s">
        <v>121</v>
      </c>
      <c r="K22" s="11" t="s">
        <v>121</v>
      </c>
      <c r="L22" s="11" t="s">
        <v>121</v>
      </c>
      <c r="M22" s="11" t="s">
        <v>121</v>
      </c>
      <c r="N22" s="32" t="s">
        <v>127</v>
      </c>
      <c r="O22" s="17" t="s">
        <v>128</v>
      </c>
      <c r="P22" s="11" t="s">
        <v>121</v>
      </c>
      <c r="Q22" s="11" t="s">
        <v>121</v>
      </c>
      <c r="S22" s="11" t="s">
        <v>121</v>
      </c>
      <c r="T22" s="11" t="s">
        <v>121</v>
      </c>
      <c r="U22" s="11" t="s">
        <v>121</v>
      </c>
      <c r="V22" s="11" t="s">
        <v>121</v>
      </c>
      <c r="W22" s="11" t="s">
        <v>121</v>
      </c>
    </row>
    <row r="24" spans="1:26" x14ac:dyDescent="0.3">
      <c r="A24" s="50" t="s">
        <v>129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6" spans="1:26" x14ac:dyDescent="0.3">
      <c r="A26" t="s">
        <v>72</v>
      </c>
      <c r="Q26" s="1" t="s">
        <v>130</v>
      </c>
      <c r="U26" s="1" t="s">
        <v>130</v>
      </c>
      <c r="W26" s="16" t="s">
        <v>112</v>
      </c>
    </row>
    <row r="27" spans="1:26" ht="42" x14ac:dyDescent="0.3">
      <c r="B27" s="4" t="s">
        <v>9</v>
      </c>
      <c r="C27" s="5" t="s">
        <v>13</v>
      </c>
      <c r="F27" s="5" t="s">
        <v>19</v>
      </c>
      <c r="G27" s="5" t="s">
        <v>21</v>
      </c>
      <c r="H27" s="5" t="s">
        <v>23</v>
      </c>
      <c r="I27" s="5" t="s">
        <v>25</v>
      </c>
      <c r="J27" s="5" t="s">
        <v>27</v>
      </c>
      <c r="K27" s="5" t="s">
        <v>29</v>
      </c>
      <c r="L27" s="5" t="s">
        <v>31</v>
      </c>
      <c r="P27" s="5" t="s">
        <v>70</v>
      </c>
      <c r="Q27" s="5" t="s">
        <v>37</v>
      </c>
      <c r="S27" s="5" t="s">
        <v>62</v>
      </c>
      <c r="T27" s="5" t="s">
        <v>64</v>
      </c>
      <c r="U27" s="5" t="s">
        <v>131</v>
      </c>
      <c r="V27" s="5" t="s">
        <v>132</v>
      </c>
      <c r="W27" s="23" t="s">
        <v>133</v>
      </c>
    </row>
    <row r="28" spans="1:26" ht="70" x14ac:dyDescent="0.3">
      <c r="A28" s="2" t="s">
        <v>2</v>
      </c>
      <c r="B28" s="2" t="s">
        <v>58</v>
      </c>
      <c r="C28" s="2" t="s">
        <v>14</v>
      </c>
      <c r="F28" s="2" t="s">
        <v>60</v>
      </c>
      <c r="G28" s="2" t="s">
        <v>22</v>
      </c>
      <c r="H28" s="2" t="s">
        <v>61</v>
      </c>
      <c r="I28" s="2" t="s">
        <v>26</v>
      </c>
      <c r="J28" s="2" t="s">
        <v>28</v>
      </c>
      <c r="K28" s="2" t="s">
        <v>30</v>
      </c>
      <c r="L28" s="2" t="s">
        <v>30</v>
      </c>
      <c r="P28" s="2" t="s">
        <v>36</v>
      </c>
      <c r="Q28" s="2" t="s">
        <v>38</v>
      </c>
      <c r="R28" s="12"/>
      <c r="S28" s="2" t="s">
        <v>63</v>
      </c>
      <c r="T28" s="2" t="s">
        <v>65</v>
      </c>
      <c r="U28" s="28" t="s">
        <v>134</v>
      </c>
      <c r="V28" s="28" t="s">
        <v>135</v>
      </c>
      <c r="W28" s="28" t="s">
        <v>76</v>
      </c>
    </row>
    <row r="29" spans="1:26" s="12" customFormat="1" ht="32.15" customHeight="1" x14ac:dyDescent="0.3">
      <c r="A29" s="10" t="s">
        <v>120</v>
      </c>
      <c r="B29" s="11" t="s">
        <v>121</v>
      </c>
      <c r="C29" s="11" t="s">
        <v>121</v>
      </c>
      <c r="D29" s="1"/>
      <c r="E29" s="1"/>
      <c r="F29" s="11" t="s">
        <v>136</v>
      </c>
      <c r="G29" s="11" t="s">
        <v>136</v>
      </c>
      <c r="H29" s="11" t="s">
        <v>136</v>
      </c>
      <c r="I29" s="11" t="s">
        <v>136</v>
      </c>
      <c r="J29" s="11" t="s">
        <v>136</v>
      </c>
      <c r="K29" s="31" t="s">
        <v>137</v>
      </c>
      <c r="L29" s="31" t="s">
        <v>137</v>
      </c>
      <c r="M29" s="1"/>
      <c r="N29" s="1"/>
      <c r="O29" s="1"/>
      <c r="P29" s="11" t="s">
        <v>136</v>
      </c>
      <c r="Q29" s="11" t="s">
        <v>136</v>
      </c>
      <c r="S29" s="21" t="s">
        <v>138</v>
      </c>
      <c r="T29" s="11" t="s">
        <v>136</v>
      </c>
      <c r="U29" s="11" t="s">
        <v>136</v>
      </c>
      <c r="V29" s="11" t="s">
        <v>136</v>
      </c>
      <c r="W29" s="24" t="s">
        <v>136</v>
      </c>
      <c r="Z29"/>
    </row>
    <row r="30" spans="1:26" x14ac:dyDescent="0.3">
      <c r="F30" s="13"/>
      <c r="G30" s="13"/>
      <c r="H30" s="13"/>
      <c r="I30" s="13"/>
      <c r="J30" s="13"/>
      <c r="L30" s="6" t="s">
        <v>139</v>
      </c>
      <c r="S30" t="s">
        <v>140</v>
      </c>
      <c r="T30" s="15" t="s">
        <v>141</v>
      </c>
    </row>
    <row r="31" spans="1:26" x14ac:dyDescent="0.3">
      <c r="A31" t="s">
        <v>77</v>
      </c>
      <c r="Q31" s="1"/>
      <c r="Y31" s="16" t="s">
        <v>112</v>
      </c>
    </row>
    <row r="32" spans="1:26" ht="42" x14ac:dyDescent="0.3">
      <c r="B32" s="4" t="s">
        <v>9</v>
      </c>
      <c r="C32" s="5" t="s">
        <v>13</v>
      </c>
      <c r="F32" s="5" t="s">
        <v>19</v>
      </c>
      <c r="G32" s="5" t="s">
        <v>21</v>
      </c>
      <c r="H32" s="5" t="s">
        <v>23</v>
      </c>
      <c r="I32" s="5" t="s">
        <v>25</v>
      </c>
      <c r="J32" s="5" t="s">
        <v>27</v>
      </c>
      <c r="K32" s="5" t="s">
        <v>29</v>
      </c>
      <c r="L32" s="5" t="s">
        <v>31</v>
      </c>
      <c r="P32" s="5" t="s">
        <v>70</v>
      </c>
      <c r="Q32" s="5" t="s">
        <v>37</v>
      </c>
      <c r="S32" s="5" t="s">
        <v>62</v>
      </c>
      <c r="T32" s="5" t="s">
        <v>64</v>
      </c>
      <c r="U32" s="5" t="s">
        <v>142</v>
      </c>
      <c r="V32" s="5" t="s">
        <v>143</v>
      </c>
      <c r="W32" s="5" t="s">
        <v>144</v>
      </c>
      <c r="X32" s="5" t="s">
        <v>145</v>
      </c>
      <c r="Y32" s="23" t="s">
        <v>146</v>
      </c>
    </row>
    <row r="33" spans="1:26" ht="56" x14ac:dyDescent="0.3">
      <c r="A33" s="2" t="s">
        <v>2</v>
      </c>
      <c r="B33" s="2" t="s">
        <v>58</v>
      </c>
      <c r="C33" s="2" t="s">
        <v>14</v>
      </c>
      <c r="F33" s="2" t="s">
        <v>60</v>
      </c>
      <c r="G33" s="2" t="s">
        <v>22</v>
      </c>
      <c r="H33" s="2" t="s">
        <v>61</v>
      </c>
      <c r="I33" s="2" t="s">
        <v>26</v>
      </c>
      <c r="J33" s="2" t="s">
        <v>28</v>
      </c>
      <c r="K33" s="2" t="s">
        <v>30</v>
      </c>
      <c r="L33" s="2" t="s">
        <v>30</v>
      </c>
      <c r="P33" s="2" t="s">
        <v>36</v>
      </c>
      <c r="Q33" s="2" t="s">
        <v>38</v>
      </c>
      <c r="R33" s="12"/>
      <c r="S33" s="2" t="s">
        <v>63</v>
      </c>
      <c r="T33" s="2" t="s">
        <v>65</v>
      </c>
      <c r="U33" s="2" t="s">
        <v>79</v>
      </c>
      <c r="V33" s="28" t="s">
        <v>81</v>
      </c>
      <c r="W33" s="2" t="s">
        <v>83</v>
      </c>
      <c r="X33" s="28" t="s">
        <v>85</v>
      </c>
      <c r="Y33" s="28" t="s">
        <v>87</v>
      </c>
    </row>
    <row r="34" spans="1:26" s="12" customFormat="1" ht="28" x14ac:dyDescent="0.3">
      <c r="A34" s="10" t="s">
        <v>120</v>
      </c>
      <c r="B34" s="11" t="s">
        <v>121</v>
      </c>
      <c r="C34" s="11" t="s">
        <v>121</v>
      </c>
      <c r="D34" s="1"/>
      <c r="E34" s="1"/>
      <c r="F34" s="11" t="s">
        <v>136</v>
      </c>
      <c r="G34" s="11" t="s">
        <v>136</v>
      </c>
      <c r="H34" s="11" t="s">
        <v>136</v>
      </c>
      <c r="I34" s="11" t="s">
        <v>136</v>
      </c>
      <c r="J34" s="11" t="s">
        <v>136</v>
      </c>
      <c r="K34" s="22" t="s">
        <v>147</v>
      </c>
      <c r="L34" s="22" t="s">
        <v>147</v>
      </c>
      <c r="M34" s="1"/>
      <c r="N34" s="1"/>
      <c r="O34" s="1"/>
      <c r="P34" s="11" t="s">
        <v>136</v>
      </c>
      <c r="Q34" s="11" t="s">
        <v>136</v>
      </c>
      <c r="S34" s="21" t="s">
        <v>148</v>
      </c>
      <c r="T34" s="22" t="s">
        <v>149</v>
      </c>
      <c r="U34" s="11" t="s">
        <v>136</v>
      </c>
      <c r="V34" s="11" t="s">
        <v>136</v>
      </c>
      <c r="W34" s="11" t="s">
        <v>136</v>
      </c>
      <c r="X34" s="11" t="s">
        <v>136</v>
      </c>
      <c r="Y34" s="11" t="s">
        <v>136</v>
      </c>
      <c r="Z34"/>
    </row>
    <row r="35" spans="1:26" x14ac:dyDescent="0.3">
      <c r="F35" s="13"/>
      <c r="G35" s="13"/>
      <c r="H35" s="13"/>
      <c r="I35" s="13"/>
      <c r="J35" s="13"/>
      <c r="K35" s="1" t="s">
        <v>150</v>
      </c>
      <c r="T35" s="15" t="s">
        <v>151</v>
      </c>
    </row>
    <row r="36" spans="1:26" x14ac:dyDescent="0.3">
      <c r="T36" t="s">
        <v>152</v>
      </c>
      <c r="W36" t="s">
        <v>153</v>
      </c>
    </row>
    <row r="37" spans="1:26" x14ac:dyDescent="0.3">
      <c r="S37" t="s">
        <v>154</v>
      </c>
    </row>
    <row r="40" spans="1:26" x14ac:dyDescent="0.3">
      <c r="B40" s="1" t="s">
        <v>155</v>
      </c>
    </row>
    <row r="41" spans="1:26" x14ac:dyDescent="0.3">
      <c r="B41" s="1" t="s">
        <v>156</v>
      </c>
    </row>
    <row r="45" spans="1:26" x14ac:dyDescent="0.3">
      <c r="B45" s="1" t="s">
        <v>157</v>
      </c>
    </row>
    <row r="47" spans="1:26" ht="56" x14ac:dyDescent="0.3">
      <c r="B47" s="4" t="s">
        <v>9</v>
      </c>
      <c r="C47" s="5" t="s">
        <v>13</v>
      </c>
      <c r="D47" s="5"/>
      <c r="E47" s="5" t="s">
        <v>17</v>
      </c>
      <c r="F47" s="5" t="s">
        <v>37</v>
      </c>
      <c r="G47" s="5" t="s">
        <v>158</v>
      </c>
    </row>
    <row r="48" spans="1:26" x14ac:dyDescent="0.3">
      <c r="B48" s="2"/>
      <c r="C48" s="2"/>
      <c r="D48" s="2"/>
      <c r="E48" s="2"/>
      <c r="F48" s="3"/>
      <c r="G48" s="3"/>
    </row>
    <row r="49" spans="2:7" x14ac:dyDescent="0.3">
      <c r="B49" s="11" t="s">
        <v>121</v>
      </c>
      <c r="C49" s="9" t="s">
        <v>121</v>
      </c>
      <c r="D49" s="9"/>
      <c r="E49" s="9" t="s">
        <v>121</v>
      </c>
      <c r="F49" s="9" t="s">
        <v>121</v>
      </c>
      <c r="G49" s="9" t="s">
        <v>121</v>
      </c>
    </row>
  </sheetData>
  <mergeCells count="2">
    <mergeCell ref="A6:Y6"/>
    <mergeCell ref="A24:Y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1828-55DB-487C-B3BB-72AC7702DF24}">
  <sheetPr codeName="Sheet3"/>
  <dimension ref="A1:H7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0" sqref="B20"/>
    </sheetView>
  </sheetViews>
  <sheetFormatPr defaultRowHeight="14" x14ac:dyDescent="0.3"/>
  <cols>
    <col min="1" max="1" width="36.33203125" customWidth="1"/>
    <col min="2" max="2" width="45.83203125" style="7" customWidth="1"/>
    <col min="3" max="3" width="22.5" customWidth="1"/>
    <col min="4" max="4" width="21.33203125" customWidth="1"/>
    <col min="5" max="5" width="15" customWidth="1"/>
    <col min="6" max="6" width="41.83203125" customWidth="1"/>
    <col min="7" max="8" width="18.83203125" customWidth="1"/>
    <col min="10" max="10" width="26.33203125" bestFit="1" customWidth="1"/>
    <col min="16" max="16" width="18.08203125" bestFit="1" customWidth="1"/>
    <col min="20" max="20" width="26.33203125" bestFit="1" customWidth="1"/>
  </cols>
  <sheetData>
    <row r="1" spans="1:8" x14ac:dyDescent="0.3">
      <c r="A1" s="38"/>
      <c r="B1" s="39"/>
      <c r="C1" s="51" t="s">
        <v>0</v>
      </c>
      <c r="D1" s="51"/>
      <c r="E1" s="51"/>
      <c r="F1" s="38"/>
      <c r="G1" s="38"/>
      <c r="H1" s="38"/>
    </row>
    <row r="2" spans="1:8" x14ac:dyDescent="0.3">
      <c r="A2" s="40" t="s">
        <v>1</v>
      </c>
      <c r="B2" s="41" t="s">
        <v>2</v>
      </c>
      <c r="C2" s="42" t="s">
        <v>3</v>
      </c>
      <c r="D2" s="42" t="s">
        <v>4</v>
      </c>
      <c r="E2" s="42" t="s">
        <v>5</v>
      </c>
      <c r="F2" s="43" t="s">
        <v>6</v>
      </c>
      <c r="G2" s="44" t="s">
        <v>7</v>
      </c>
      <c r="H2" s="44" t="s">
        <v>8</v>
      </c>
    </row>
    <row r="3" spans="1:8" x14ac:dyDescent="0.3">
      <c r="A3" s="29" t="s">
        <v>9</v>
      </c>
      <c r="B3" s="30" t="s">
        <v>10</v>
      </c>
      <c r="C3" s="29" t="s">
        <v>11</v>
      </c>
      <c r="D3" s="29"/>
      <c r="E3" s="29"/>
      <c r="F3" s="29"/>
      <c r="G3" s="29"/>
      <c r="H3" s="3" t="s">
        <v>12</v>
      </c>
    </row>
    <row r="4" spans="1:8" x14ac:dyDescent="0.3">
      <c r="A4" s="29" t="s">
        <v>13</v>
      </c>
      <c r="B4" s="30" t="s">
        <v>14</v>
      </c>
      <c r="C4" s="29"/>
      <c r="D4" s="29"/>
      <c r="E4" s="29"/>
      <c r="F4" s="29"/>
      <c r="G4" s="29"/>
      <c r="H4" s="3" t="s">
        <v>12</v>
      </c>
    </row>
    <row r="5" spans="1:8" x14ac:dyDescent="0.3">
      <c r="A5" s="29" t="s">
        <v>15</v>
      </c>
      <c r="B5" s="30" t="s">
        <v>16</v>
      </c>
      <c r="C5" s="29"/>
      <c r="D5" s="29"/>
      <c r="E5" s="29"/>
      <c r="F5" s="29"/>
      <c r="G5" s="29"/>
      <c r="H5" s="3" t="s">
        <v>12</v>
      </c>
    </row>
    <row r="6" spans="1:8" x14ac:dyDescent="0.3">
      <c r="A6" s="29" t="s">
        <v>17</v>
      </c>
      <c r="B6" s="30" t="s">
        <v>18</v>
      </c>
      <c r="C6" s="29"/>
      <c r="D6" s="29"/>
      <c r="E6" s="29"/>
      <c r="F6" s="29"/>
      <c r="G6" s="29"/>
      <c r="H6" s="3" t="s">
        <v>12</v>
      </c>
    </row>
    <row r="7" spans="1:8" x14ac:dyDescent="0.3">
      <c r="A7" s="29" t="s">
        <v>19</v>
      </c>
      <c r="B7" s="30" t="s">
        <v>20</v>
      </c>
      <c r="C7" s="29"/>
      <c r="D7" s="29"/>
      <c r="E7" s="29"/>
      <c r="F7" s="29"/>
      <c r="G7" s="29"/>
      <c r="H7" s="3" t="s">
        <v>12</v>
      </c>
    </row>
    <row r="8" spans="1:8" x14ac:dyDescent="0.3">
      <c r="A8" s="29" t="s">
        <v>21</v>
      </c>
      <c r="B8" s="30" t="s">
        <v>22</v>
      </c>
      <c r="C8" s="29"/>
      <c r="D8" s="29"/>
      <c r="E8" s="29"/>
      <c r="F8" s="29"/>
      <c r="G8" s="29"/>
      <c r="H8" s="3" t="s">
        <v>12</v>
      </c>
    </row>
    <row r="9" spans="1:8" x14ac:dyDescent="0.3">
      <c r="A9" s="29" t="s">
        <v>23</v>
      </c>
      <c r="B9" s="30" t="s">
        <v>24</v>
      </c>
      <c r="C9" s="29"/>
      <c r="D9" s="29"/>
      <c r="E9" s="29"/>
      <c r="F9" s="29"/>
      <c r="G9" s="29"/>
      <c r="H9" s="3" t="s">
        <v>12</v>
      </c>
    </row>
    <row r="10" spans="1:8" x14ac:dyDescent="0.3">
      <c r="A10" s="29" t="s">
        <v>25</v>
      </c>
      <c r="B10" s="30" t="s">
        <v>26</v>
      </c>
      <c r="C10" s="29"/>
      <c r="D10" s="29"/>
      <c r="E10" s="29"/>
      <c r="F10" s="29"/>
      <c r="G10" s="29"/>
      <c r="H10" s="3" t="s">
        <v>12</v>
      </c>
    </row>
    <row r="11" spans="1:8" x14ac:dyDescent="0.3">
      <c r="A11" s="29" t="s">
        <v>27</v>
      </c>
      <c r="B11" s="30" t="s">
        <v>28</v>
      </c>
      <c r="C11" s="29"/>
      <c r="D11" s="29"/>
      <c r="E11" s="29"/>
      <c r="F11" s="29"/>
      <c r="G11" s="29"/>
      <c r="H11" s="3" t="s">
        <v>12</v>
      </c>
    </row>
    <row r="12" spans="1:8" x14ac:dyDescent="0.3">
      <c r="A12" s="29" t="s">
        <v>29</v>
      </c>
      <c r="B12" s="30" t="s">
        <v>30</v>
      </c>
      <c r="C12" s="29"/>
      <c r="D12" s="29"/>
      <c r="E12" s="29"/>
      <c r="F12" s="29"/>
      <c r="G12" s="29"/>
      <c r="H12" s="3" t="s">
        <v>12</v>
      </c>
    </row>
    <row r="13" spans="1:8" x14ac:dyDescent="0.3">
      <c r="A13" s="29" t="s">
        <v>31</v>
      </c>
      <c r="B13" s="30" t="s">
        <v>30</v>
      </c>
      <c r="C13" s="29"/>
      <c r="D13" s="29"/>
      <c r="E13" s="29"/>
      <c r="F13" s="29"/>
      <c r="G13" s="29"/>
      <c r="H13" s="3" t="s">
        <v>12</v>
      </c>
    </row>
    <row r="14" spans="1:8" x14ac:dyDescent="0.3">
      <c r="A14" s="29" t="s">
        <v>32</v>
      </c>
      <c r="B14" s="30" t="s">
        <v>30</v>
      </c>
      <c r="C14" s="29"/>
      <c r="D14" s="29"/>
      <c r="E14" s="29"/>
      <c r="F14" s="29"/>
      <c r="G14" s="29"/>
      <c r="H14" s="3" t="s">
        <v>12</v>
      </c>
    </row>
    <row r="15" spans="1:8" x14ac:dyDescent="0.3">
      <c r="A15" s="29" t="s">
        <v>33</v>
      </c>
      <c r="B15" s="30" t="s">
        <v>30</v>
      </c>
      <c r="C15" s="29"/>
      <c r="D15" s="29"/>
      <c r="E15" s="29"/>
      <c r="F15" s="29"/>
      <c r="G15" s="29"/>
      <c r="H15" s="3" t="s">
        <v>12</v>
      </c>
    </row>
    <row r="16" spans="1:8" x14ac:dyDescent="0.3">
      <c r="A16" s="29" t="s">
        <v>34</v>
      </c>
      <c r="B16" s="30"/>
      <c r="C16" s="29"/>
      <c r="D16" s="29"/>
      <c r="E16" s="29"/>
      <c r="F16" s="29"/>
      <c r="G16" s="29"/>
      <c r="H16" s="3" t="s">
        <v>12</v>
      </c>
    </row>
    <row r="17" spans="1:8" x14ac:dyDescent="0.3">
      <c r="A17" s="29" t="s">
        <v>35</v>
      </c>
      <c r="B17" s="30" t="s">
        <v>36</v>
      </c>
      <c r="C17" s="29"/>
      <c r="D17" s="29"/>
      <c r="E17" s="29"/>
      <c r="F17" s="29"/>
      <c r="G17" s="29"/>
      <c r="H17" s="3" t="s">
        <v>12</v>
      </c>
    </row>
    <row r="18" spans="1:8" x14ac:dyDescent="0.3">
      <c r="A18" s="29" t="s">
        <v>37</v>
      </c>
      <c r="B18" s="30" t="s">
        <v>38</v>
      </c>
      <c r="C18" s="29"/>
      <c r="D18" s="29"/>
      <c r="E18" s="29"/>
      <c r="F18" s="29"/>
      <c r="G18" s="29"/>
      <c r="H18" s="3" t="s">
        <v>12</v>
      </c>
    </row>
    <row r="19" spans="1:8" x14ac:dyDescent="0.3">
      <c r="A19" s="29" t="s">
        <v>39</v>
      </c>
      <c r="B19" s="30" t="s">
        <v>40</v>
      </c>
      <c r="C19" s="29"/>
      <c r="D19" s="29"/>
      <c r="E19" s="29"/>
      <c r="F19" s="29"/>
      <c r="G19" s="29"/>
      <c r="H19" s="3" t="s">
        <v>12</v>
      </c>
    </row>
    <row r="20" spans="1:8" x14ac:dyDescent="0.3">
      <c r="A20" s="29" t="s">
        <v>41</v>
      </c>
      <c r="B20" s="30" t="s">
        <v>42</v>
      </c>
      <c r="C20" s="29"/>
      <c r="D20" s="29"/>
      <c r="E20" s="29"/>
      <c r="F20" s="29"/>
      <c r="G20" s="29"/>
      <c r="H20" s="3" t="s">
        <v>12</v>
      </c>
    </row>
    <row r="21" spans="1:8" x14ac:dyDescent="0.3">
      <c r="A21" s="29" t="s">
        <v>43</v>
      </c>
      <c r="B21" s="30" t="s">
        <v>44</v>
      </c>
      <c r="C21" s="29"/>
      <c r="D21" s="29"/>
      <c r="E21" s="29"/>
      <c r="F21" s="29"/>
      <c r="G21" s="29"/>
      <c r="H21" s="3" t="s">
        <v>12</v>
      </c>
    </row>
    <row r="22" spans="1:8" x14ac:dyDescent="0.3">
      <c r="A22" s="30" t="s">
        <v>45</v>
      </c>
      <c r="B22" s="30" t="s">
        <v>46</v>
      </c>
      <c r="C22" s="29"/>
      <c r="D22" s="29"/>
      <c r="E22" s="29"/>
      <c r="F22" s="29"/>
      <c r="G22" s="29"/>
      <c r="H22" s="3" t="s">
        <v>12</v>
      </c>
    </row>
    <row r="23" spans="1:8" ht="28" x14ac:dyDescent="0.3">
      <c r="A23" s="29" t="s">
        <v>47</v>
      </c>
      <c r="B23" s="30" t="s">
        <v>48</v>
      </c>
      <c r="C23" s="29"/>
      <c r="D23" s="29"/>
      <c r="E23" s="29"/>
      <c r="F23" s="29"/>
      <c r="G23" s="29"/>
      <c r="H23" s="3" t="s">
        <v>12</v>
      </c>
    </row>
    <row r="24" spans="1:8" x14ac:dyDescent="0.3">
      <c r="A24" s="29" t="s">
        <v>49</v>
      </c>
      <c r="B24" s="30" t="s">
        <v>50</v>
      </c>
      <c r="C24" s="29"/>
      <c r="D24" s="29"/>
      <c r="E24" s="29"/>
      <c r="F24" s="29"/>
      <c r="G24" s="29"/>
      <c r="H24" s="3" t="s">
        <v>12</v>
      </c>
    </row>
    <row r="25" spans="1:8" ht="42" x14ac:dyDescent="0.3">
      <c r="A25" s="29" t="s">
        <v>51</v>
      </c>
      <c r="B25" s="30" t="s">
        <v>52</v>
      </c>
      <c r="C25" s="29"/>
      <c r="D25" s="29"/>
      <c r="E25" s="29"/>
      <c r="F25" s="30" t="s">
        <v>53</v>
      </c>
      <c r="G25" s="30"/>
      <c r="H25" s="3" t="s">
        <v>12</v>
      </c>
    </row>
    <row r="26" spans="1:8" ht="42" x14ac:dyDescent="0.3">
      <c r="A26" s="29" t="s">
        <v>54</v>
      </c>
      <c r="B26" s="30" t="s">
        <v>55</v>
      </c>
      <c r="C26" s="29"/>
      <c r="D26" s="29"/>
      <c r="E26" s="29"/>
      <c r="F26" s="30" t="s">
        <v>56</v>
      </c>
      <c r="G26" s="30"/>
      <c r="H26" s="3" t="s">
        <v>12</v>
      </c>
    </row>
    <row r="74" spans="1:2" x14ac:dyDescent="0.3">
      <c r="A74" s="12"/>
      <c r="B74" s="34"/>
    </row>
  </sheetData>
  <mergeCells count="1">
    <mergeCell ref="C1:E1"/>
  </mergeCells>
  <conditionalFormatting sqref="H3:H26">
    <cfRule type="cellIs" dxfId="9" priority="5" operator="notEqual">
      <formula>"Done"</formula>
    </cfRule>
    <cfRule type="cellIs" dxfId="8" priority="6" operator="equal">
      <formula>"Done"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032BF-A689-4EB9-AE36-3CC99CF573D5}">
          <x14:formula1>
            <xm:f>all_dropdown!$K$2:$K$9</xm:f>
          </x14:formula1>
          <xm:sqref>H3:H26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1E09-EA21-4E84-9C24-D20DE0864671}">
  <sheetPr codeName="Sheet4"/>
  <dimension ref="A1:H20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9" sqref="R19"/>
    </sheetView>
  </sheetViews>
  <sheetFormatPr defaultRowHeight="14" x14ac:dyDescent="0.3"/>
  <cols>
    <col min="1" max="1" width="33" bestFit="1" customWidth="1"/>
    <col min="2" max="2" width="32.58203125" bestFit="1" customWidth="1"/>
    <col min="3" max="3" width="14.08203125" bestFit="1" customWidth="1"/>
    <col min="4" max="4" width="12.25" bestFit="1" customWidth="1"/>
    <col min="5" max="5" width="14.5" bestFit="1" customWidth="1"/>
    <col min="6" max="6" width="20.83203125" customWidth="1"/>
    <col min="7" max="7" width="8.08203125" bestFit="1" customWidth="1"/>
    <col min="8" max="8" width="15.08203125" bestFit="1" customWidth="1"/>
  </cols>
  <sheetData>
    <row r="1" spans="1:8" x14ac:dyDescent="0.3">
      <c r="A1" s="38"/>
      <c r="B1" s="39"/>
      <c r="C1" s="51" t="s">
        <v>0</v>
      </c>
      <c r="D1" s="51"/>
      <c r="E1" s="51"/>
      <c r="F1" s="38"/>
      <c r="G1" s="38"/>
      <c r="H1" s="38"/>
    </row>
    <row r="2" spans="1:8" x14ac:dyDescent="0.3">
      <c r="A2" s="40" t="s">
        <v>57</v>
      </c>
      <c r="B2" s="41" t="s">
        <v>2</v>
      </c>
      <c r="C2" s="42" t="s">
        <v>3</v>
      </c>
      <c r="D2" s="42" t="s">
        <v>4</v>
      </c>
      <c r="E2" s="42" t="s">
        <v>5</v>
      </c>
      <c r="F2" s="43" t="s">
        <v>6</v>
      </c>
      <c r="G2" s="44" t="s">
        <v>7</v>
      </c>
      <c r="H2" s="44" t="s">
        <v>8</v>
      </c>
    </row>
    <row r="3" spans="1:8" x14ac:dyDescent="0.3">
      <c r="A3" s="10" t="s">
        <v>9</v>
      </c>
      <c r="B3" s="28" t="s">
        <v>58</v>
      </c>
      <c r="C3" s="3"/>
      <c r="D3" s="3"/>
      <c r="E3" s="3"/>
      <c r="F3" s="3"/>
      <c r="G3" s="3"/>
      <c r="H3" s="3" t="s">
        <v>12</v>
      </c>
    </row>
    <row r="4" spans="1:8" x14ac:dyDescent="0.3">
      <c r="A4" s="10" t="s">
        <v>13</v>
      </c>
      <c r="B4" s="28" t="s">
        <v>14</v>
      </c>
      <c r="C4" s="3"/>
      <c r="D4" s="3"/>
      <c r="E4" s="3"/>
      <c r="F4" s="3"/>
      <c r="G4" s="3"/>
      <c r="H4" s="3" t="s">
        <v>12</v>
      </c>
    </row>
    <row r="5" spans="1:8" x14ac:dyDescent="0.3">
      <c r="A5" s="10" t="s">
        <v>15</v>
      </c>
      <c r="B5" s="28" t="s">
        <v>16</v>
      </c>
      <c r="C5" s="3"/>
      <c r="D5" s="3"/>
      <c r="E5" s="3"/>
      <c r="F5" s="3"/>
      <c r="G5" s="3"/>
      <c r="H5" s="3" t="s">
        <v>12</v>
      </c>
    </row>
    <row r="6" spans="1:8" x14ac:dyDescent="0.3">
      <c r="A6" s="10" t="s">
        <v>17</v>
      </c>
      <c r="B6" s="28" t="s">
        <v>59</v>
      </c>
      <c r="C6" s="3"/>
      <c r="D6" s="3"/>
      <c r="E6" s="3"/>
      <c r="F6" s="3"/>
      <c r="G6" s="3"/>
      <c r="H6" s="3" t="s">
        <v>12</v>
      </c>
    </row>
    <row r="7" spans="1:8" x14ac:dyDescent="0.3">
      <c r="A7" s="10" t="s">
        <v>19</v>
      </c>
      <c r="B7" s="28" t="s">
        <v>60</v>
      </c>
      <c r="C7" s="3"/>
      <c r="D7" s="3"/>
      <c r="E7" s="3"/>
      <c r="F7" s="3"/>
      <c r="G7" s="3"/>
      <c r="H7" s="3" t="s">
        <v>12</v>
      </c>
    </row>
    <row r="8" spans="1:8" x14ac:dyDescent="0.3">
      <c r="A8" s="10" t="s">
        <v>21</v>
      </c>
      <c r="B8" s="28" t="s">
        <v>22</v>
      </c>
      <c r="C8" s="3"/>
      <c r="D8" s="3"/>
      <c r="E8" s="3"/>
      <c r="F8" s="3"/>
      <c r="G8" s="3"/>
      <c r="H8" s="3" t="s">
        <v>12</v>
      </c>
    </row>
    <row r="9" spans="1:8" x14ac:dyDescent="0.3">
      <c r="A9" s="10" t="s">
        <v>23</v>
      </c>
      <c r="B9" s="28" t="s">
        <v>61</v>
      </c>
      <c r="C9" s="3"/>
      <c r="D9" s="3"/>
      <c r="E9" s="3"/>
      <c r="F9" s="3"/>
      <c r="G9" s="3"/>
      <c r="H9" s="3" t="s">
        <v>12</v>
      </c>
    </row>
    <row r="10" spans="1:8" x14ac:dyDescent="0.3">
      <c r="A10" s="10" t="s">
        <v>25</v>
      </c>
      <c r="B10" s="28" t="s">
        <v>26</v>
      </c>
      <c r="C10" s="3"/>
      <c r="D10" s="3"/>
      <c r="E10" s="3"/>
      <c r="F10" s="3"/>
      <c r="G10" s="3"/>
      <c r="H10" s="3" t="s">
        <v>12</v>
      </c>
    </row>
    <row r="11" spans="1:8" x14ac:dyDescent="0.3">
      <c r="A11" s="10" t="s">
        <v>27</v>
      </c>
      <c r="B11" s="28" t="s">
        <v>28</v>
      </c>
      <c r="C11" s="3"/>
      <c r="D11" s="3"/>
      <c r="E11" s="3"/>
      <c r="F11" s="3"/>
      <c r="G11" s="3"/>
      <c r="H11" s="3" t="s">
        <v>12</v>
      </c>
    </row>
    <row r="12" spans="1:8" x14ac:dyDescent="0.3">
      <c r="A12" s="10" t="s">
        <v>29</v>
      </c>
      <c r="B12" s="28" t="s">
        <v>30</v>
      </c>
      <c r="C12" s="3"/>
      <c r="D12" s="3"/>
      <c r="E12" s="3"/>
      <c r="F12" s="3"/>
      <c r="G12" s="3"/>
      <c r="H12" s="3" t="s">
        <v>12</v>
      </c>
    </row>
    <row r="13" spans="1:8" x14ac:dyDescent="0.3">
      <c r="A13" s="10" t="s">
        <v>31</v>
      </c>
      <c r="B13" s="28" t="s">
        <v>30</v>
      </c>
      <c r="C13" s="3"/>
      <c r="D13" s="3"/>
      <c r="E13" s="3"/>
      <c r="F13" s="3"/>
      <c r="G13" s="3"/>
      <c r="H13" s="3" t="s">
        <v>12</v>
      </c>
    </row>
    <row r="14" spans="1:8" x14ac:dyDescent="0.3">
      <c r="A14" s="10" t="s">
        <v>35</v>
      </c>
      <c r="B14" s="28" t="s">
        <v>36</v>
      </c>
      <c r="C14" s="3"/>
      <c r="D14" s="3"/>
      <c r="E14" s="3"/>
      <c r="F14" s="3"/>
      <c r="G14" s="3"/>
      <c r="H14" s="3" t="s">
        <v>12</v>
      </c>
    </row>
    <row r="15" spans="1:8" x14ac:dyDescent="0.3">
      <c r="A15" s="10" t="s">
        <v>37</v>
      </c>
      <c r="B15" s="28" t="s">
        <v>38</v>
      </c>
      <c r="C15" s="3"/>
      <c r="D15" s="3"/>
      <c r="E15" s="3"/>
      <c r="F15" s="3"/>
      <c r="G15" s="3"/>
      <c r="H15" s="3" t="s">
        <v>12</v>
      </c>
    </row>
    <row r="16" spans="1:8" x14ac:dyDescent="0.3">
      <c r="A16" s="10" t="s">
        <v>62</v>
      </c>
      <c r="B16" s="28" t="s">
        <v>63</v>
      </c>
      <c r="C16" s="3"/>
      <c r="D16" s="3"/>
      <c r="E16" s="3"/>
      <c r="F16" s="3"/>
      <c r="G16" s="3"/>
      <c r="H16" s="3" t="s">
        <v>12</v>
      </c>
    </row>
    <row r="17" spans="1:8" x14ac:dyDescent="0.3">
      <c r="A17" s="10" t="s">
        <v>64</v>
      </c>
      <c r="B17" s="28" t="s">
        <v>65</v>
      </c>
      <c r="C17" s="3"/>
      <c r="D17" s="3"/>
      <c r="E17" s="3"/>
      <c r="F17" s="3"/>
      <c r="G17" s="3"/>
      <c r="H17" s="3" t="s">
        <v>12</v>
      </c>
    </row>
    <row r="18" spans="1:8" x14ac:dyDescent="0.3">
      <c r="A18" s="30" t="s">
        <v>45</v>
      </c>
      <c r="B18" s="28" t="s">
        <v>66</v>
      </c>
      <c r="C18" s="3"/>
      <c r="D18" s="3"/>
      <c r="E18" s="3"/>
      <c r="F18" s="3"/>
      <c r="G18" s="3"/>
      <c r="H18" s="3" t="s">
        <v>12</v>
      </c>
    </row>
    <row r="19" spans="1:8" ht="28" x14ac:dyDescent="0.3">
      <c r="A19" s="29" t="s">
        <v>47</v>
      </c>
      <c r="B19" s="28" t="s">
        <v>67</v>
      </c>
      <c r="C19" s="3"/>
      <c r="D19" s="3"/>
      <c r="E19" s="3"/>
      <c r="F19" s="3"/>
      <c r="G19" s="3"/>
      <c r="H19" s="3" t="s">
        <v>12</v>
      </c>
    </row>
    <row r="20" spans="1:8" ht="50.5" customHeight="1" x14ac:dyDescent="0.3">
      <c r="A20" s="29" t="s">
        <v>51</v>
      </c>
      <c r="B20" s="30" t="s">
        <v>52</v>
      </c>
      <c r="C20" s="29"/>
      <c r="D20" s="29"/>
      <c r="E20" s="29"/>
      <c r="F20" s="30" t="s">
        <v>53</v>
      </c>
      <c r="G20" s="30"/>
      <c r="H20" s="3" t="s">
        <v>12</v>
      </c>
    </row>
  </sheetData>
  <mergeCells count="1">
    <mergeCell ref="C1:E1"/>
  </mergeCells>
  <conditionalFormatting sqref="H3:H20">
    <cfRule type="cellIs" dxfId="7" priority="1" operator="notEqual">
      <formula>"Done"</formula>
    </cfRule>
    <cfRule type="cellIs" dxfId="6" priority="2" operator="equal">
      <formula>"Done"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032BF-A689-4EB9-AE36-3CC99CF573D5}">
          <x14:formula1>
            <xm:f>all_dropdown!$K$2:$K$9</xm:f>
          </x14:formula1>
          <xm:sqref>H3:H20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5CB-74D6-4755-9838-AADB4B0D8BCA}">
  <sheetPr codeName="Sheet5"/>
  <dimension ref="A1:H28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4"/>
    </sheetView>
  </sheetViews>
  <sheetFormatPr defaultRowHeight="14" x14ac:dyDescent="0.3"/>
  <cols>
    <col min="1" max="1" width="21.33203125" customWidth="1"/>
    <col min="2" max="2" width="30.5" customWidth="1"/>
    <col min="3" max="5" width="19.33203125" customWidth="1"/>
    <col min="6" max="6" width="20.83203125" customWidth="1"/>
    <col min="7" max="7" width="16.5" customWidth="1"/>
    <col min="8" max="8" width="13.33203125" customWidth="1"/>
  </cols>
  <sheetData>
    <row r="1" spans="1:8" x14ac:dyDescent="0.3">
      <c r="A1" s="38"/>
      <c r="B1" s="39"/>
      <c r="C1" s="51" t="s">
        <v>0</v>
      </c>
      <c r="D1" s="51"/>
      <c r="E1" s="51"/>
      <c r="F1" s="38"/>
      <c r="G1" s="38"/>
      <c r="H1" s="38"/>
    </row>
    <row r="2" spans="1:8" x14ac:dyDescent="0.3">
      <c r="A2" s="40" t="s">
        <v>68</v>
      </c>
      <c r="B2" s="41" t="s">
        <v>2</v>
      </c>
      <c r="C2" s="42" t="s">
        <v>3</v>
      </c>
      <c r="D2" s="42" t="s">
        <v>4</v>
      </c>
      <c r="E2" s="42" t="s">
        <v>5</v>
      </c>
      <c r="F2" s="43" t="s">
        <v>6</v>
      </c>
      <c r="G2" s="44" t="s">
        <v>7</v>
      </c>
      <c r="H2" s="44" t="s">
        <v>8</v>
      </c>
    </row>
    <row r="3" spans="1:8" x14ac:dyDescent="0.3">
      <c r="A3" s="10" t="s">
        <v>9</v>
      </c>
      <c r="B3" s="28" t="s">
        <v>58</v>
      </c>
      <c r="C3" s="3"/>
      <c r="D3" s="3"/>
      <c r="E3" s="3"/>
      <c r="F3" s="3"/>
      <c r="G3" s="3"/>
      <c r="H3" s="3" t="s">
        <v>12</v>
      </c>
    </row>
    <row r="4" spans="1:8" x14ac:dyDescent="0.3">
      <c r="A4" s="10" t="s">
        <v>13</v>
      </c>
      <c r="B4" s="28" t="s">
        <v>14</v>
      </c>
      <c r="C4" s="3"/>
      <c r="D4" s="3"/>
      <c r="E4" s="3"/>
      <c r="F4" s="3"/>
      <c r="G4" s="3"/>
      <c r="H4" s="3" t="s">
        <v>12</v>
      </c>
    </row>
    <row r="5" spans="1:8" x14ac:dyDescent="0.3">
      <c r="A5" s="10" t="s">
        <v>15</v>
      </c>
      <c r="B5" s="28" t="s">
        <v>16</v>
      </c>
      <c r="C5" s="3"/>
      <c r="D5" s="3"/>
      <c r="E5" s="3"/>
      <c r="F5" s="3"/>
      <c r="G5" s="3"/>
      <c r="H5" s="3" t="s">
        <v>12</v>
      </c>
    </row>
    <row r="6" spans="1:8" ht="28" x14ac:dyDescent="0.3">
      <c r="A6" s="10" t="s">
        <v>17</v>
      </c>
      <c r="B6" s="28" t="s">
        <v>69</v>
      </c>
      <c r="C6" s="3"/>
      <c r="D6" s="3"/>
      <c r="E6" s="3"/>
      <c r="F6" s="3"/>
      <c r="G6" s="3"/>
      <c r="H6" s="3" t="s">
        <v>12</v>
      </c>
    </row>
    <row r="7" spans="1:8" x14ac:dyDescent="0.3">
      <c r="A7" s="10" t="s">
        <v>19</v>
      </c>
      <c r="B7" s="28" t="s">
        <v>60</v>
      </c>
      <c r="C7" s="3"/>
      <c r="D7" s="3"/>
      <c r="E7" s="3"/>
      <c r="F7" s="3"/>
      <c r="G7" s="3"/>
      <c r="H7" s="3" t="s">
        <v>12</v>
      </c>
    </row>
    <row r="8" spans="1:8" x14ac:dyDescent="0.3">
      <c r="A8" s="10" t="s">
        <v>21</v>
      </c>
      <c r="B8" s="28" t="s">
        <v>22</v>
      </c>
      <c r="C8" s="3"/>
      <c r="D8" s="3"/>
      <c r="E8" s="3"/>
      <c r="F8" s="3"/>
      <c r="G8" s="3"/>
      <c r="H8" s="3" t="s">
        <v>12</v>
      </c>
    </row>
    <row r="9" spans="1:8" x14ac:dyDescent="0.3">
      <c r="A9" s="10" t="s">
        <v>23</v>
      </c>
      <c r="B9" s="28" t="s">
        <v>61</v>
      </c>
      <c r="C9" s="3"/>
      <c r="D9" s="3"/>
      <c r="E9" s="3"/>
      <c r="F9" s="3"/>
      <c r="G9" s="3"/>
      <c r="H9" s="3" t="s">
        <v>12</v>
      </c>
    </row>
    <row r="10" spans="1:8" x14ac:dyDescent="0.3">
      <c r="A10" s="10" t="s">
        <v>25</v>
      </c>
      <c r="B10" s="28" t="s">
        <v>26</v>
      </c>
      <c r="C10" s="3"/>
      <c r="D10" s="3"/>
      <c r="E10" s="3"/>
      <c r="F10" s="3"/>
      <c r="G10" s="3"/>
      <c r="H10" s="3" t="s">
        <v>12</v>
      </c>
    </row>
    <row r="11" spans="1:8" x14ac:dyDescent="0.3">
      <c r="A11" s="10" t="s">
        <v>27</v>
      </c>
      <c r="B11" s="28" t="s">
        <v>28</v>
      </c>
      <c r="C11" s="3"/>
      <c r="D11" s="3"/>
      <c r="E11" s="3"/>
      <c r="F11" s="3"/>
      <c r="G11" s="3"/>
      <c r="H11" s="3" t="s">
        <v>12</v>
      </c>
    </row>
    <row r="12" spans="1:8" x14ac:dyDescent="0.3">
      <c r="A12" s="10" t="s">
        <v>29</v>
      </c>
      <c r="B12" s="28" t="s">
        <v>30</v>
      </c>
      <c r="C12" s="3"/>
      <c r="D12" s="3"/>
      <c r="E12" s="3"/>
      <c r="F12" s="3"/>
      <c r="G12" s="3"/>
      <c r="H12" s="3" t="s">
        <v>12</v>
      </c>
    </row>
    <row r="13" spans="1:8" x14ac:dyDescent="0.3">
      <c r="A13" s="10" t="s">
        <v>31</v>
      </c>
      <c r="B13" s="28" t="s">
        <v>30</v>
      </c>
      <c r="C13" s="3"/>
      <c r="D13" s="3"/>
      <c r="E13" s="3"/>
      <c r="F13" s="3"/>
      <c r="G13" s="3"/>
      <c r="H13" s="3" t="s">
        <v>12</v>
      </c>
    </row>
    <row r="14" spans="1:8" x14ac:dyDescent="0.3">
      <c r="A14" s="10" t="s">
        <v>32</v>
      </c>
      <c r="B14" s="28" t="s">
        <v>30</v>
      </c>
      <c r="C14" s="3"/>
      <c r="D14" s="3"/>
      <c r="E14" s="3"/>
      <c r="F14" s="3"/>
      <c r="G14" s="3"/>
      <c r="H14" s="3" t="s">
        <v>12</v>
      </c>
    </row>
    <row r="15" spans="1:8" x14ac:dyDescent="0.3">
      <c r="A15" s="10" t="s">
        <v>33</v>
      </c>
      <c r="B15" s="28" t="s">
        <v>30</v>
      </c>
      <c r="C15" s="3"/>
      <c r="D15" s="3"/>
      <c r="E15" s="3"/>
      <c r="F15" s="3"/>
      <c r="G15" s="3"/>
      <c r="H15" s="3" t="s">
        <v>12</v>
      </c>
    </row>
    <row r="16" spans="1:8" x14ac:dyDescent="0.3">
      <c r="A16" s="10" t="s">
        <v>34</v>
      </c>
      <c r="B16" s="28"/>
      <c r="C16" s="3"/>
      <c r="D16" s="3"/>
      <c r="E16" s="3"/>
      <c r="F16" s="3"/>
      <c r="G16" s="3"/>
      <c r="H16" s="3" t="s">
        <v>12</v>
      </c>
    </row>
    <row r="17" spans="1:8" x14ac:dyDescent="0.3">
      <c r="A17" s="10" t="s">
        <v>70</v>
      </c>
      <c r="B17" s="28" t="s">
        <v>36</v>
      </c>
      <c r="C17" s="3"/>
      <c r="D17" s="3"/>
      <c r="E17" s="3"/>
      <c r="F17" s="3"/>
      <c r="G17" s="3"/>
      <c r="H17" s="3" t="s">
        <v>12</v>
      </c>
    </row>
    <row r="18" spans="1:8" x14ac:dyDescent="0.3">
      <c r="A18" s="10" t="s">
        <v>37</v>
      </c>
      <c r="B18" s="28" t="s">
        <v>38</v>
      </c>
      <c r="C18" s="3"/>
      <c r="D18" s="3"/>
      <c r="E18" s="3"/>
      <c r="F18" s="3"/>
      <c r="G18" s="3"/>
      <c r="H18" s="3" t="s">
        <v>12</v>
      </c>
    </row>
    <row r="19" spans="1:8" x14ac:dyDescent="0.3">
      <c r="A19" s="10" t="s">
        <v>62</v>
      </c>
      <c r="B19" s="28" t="s">
        <v>63</v>
      </c>
      <c r="C19" s="3"/>
      <c r="D19" s="3"/>
      <c r="E19" s="3"/>
      <c r="F19" s="3"/>
      <c r="G19" s="3"/>
      <c r="H19" s="3" t="s">
        <v>12</v>
      </c>
    </row>
    <row r="20" spans="1:8" x14ac:dyDescent="0.3">
      <c r="A20" s="10" t="s">
        <v>64</v>
      </c>
      <c r="B20" s="28" t="s">
        <v>65</v>
      </c>
      <c r="C20" s="3"/>
      <c r="D20" s="3"/>
      <c r="E20" s="3"/>
      <c r="F20" s="3"/>
      <c r="G20" s="3"/>
      <c r="H20" s="3" t="s">
        <v>12</v>
      </c>
    </row>
    <row r="21" spans="1:8" ht="28" x14ac:dyDescent="0.3">
      <c r="A21" s="30" t="s">
        <v>45</v>
      </c>
      <c r="B21" s="28" t="s">
        <v>46</v>
      </c>
      <c r="C21" s="3"/>
      <c r="D21" s="3"/>
      <c r="E21" s="3"/>
      <c r="F21" s="3"/>
      <c r="G21" s="3"/>
      <c r="H21" s="3" t="s">
        <v>12</v>
      </c>
    </row>
    <row r="22" spans="1:8" ht="42" x14ac:dyDescent="0.3">
      <c r="A22" s="29" t="s">
        <v>47</v>
      </c>
      <c r="B22" s="28" t="s">
        <v>71</v>
      </c>
      <c r="C22" s="3"/>
      <c r="D22" s="3"/>
      <c r="E22" s="3"/>
      <c r="F22" s="3"/>
      <c r="G22" s="3"/>
      <c r="H22" s="3" t="s">
        <v>12</v>
      </c>
    </row>
    <row r="23" spans="1:8" ht="46.5" customHeight="1" x14ac:dyDescent="0.3">
      <c r="A23" s="10" t="s">
        <v>49</v>
      </c>
      <c r="B23" s="28" t="s">
        <v>50</v>
      </c>
      <c r="C23" s="3"/>
      <c r="D23" s="3"/>
      <c r="E23" s="3"/>
      <c r="F23" s="3"/>
      <c r="G23" s="3"/>
      <c r="H23" s="3" t="s">
        <v>12</v>
      </c>
    </row>
    <row r="24" spans="1:8" ht="50.5" customHeight="1" x14ac:dyDescent="0.3">
      <c r="A24" s="29" t="s">
        <v>51</v>
      </c>
      <c r="B24" s="30" t="s">
        <v>52</v>
      </c>
      <c r="C24" s="29"/>
      <c r="D24" s="29"/>
      <c r="E24" s="29"/>
      <c r="F24" s="30" t="s">
        <v>53</v>
      </c>
      <c r="G24" s="30"/>
      <c r="H24" s="3" t="s">
        <v>12</v>
      </c>
    </row>
    <row r="25" spans="1:8" ht="64" hidden="1" customHeight="1" x14ac:dyDescent="0.3">
      <c r="A25" s="29" t="s">
        <v>54</v>
      </c>
      <c r="B25" s="30" t="s">
        <v>55</v>
      </c>
      <c r="C25" s="29"/>
      <c r="D25" s="29"/>
      <c r="E25" s="29"/>
      <c r="F25" s="30" t="s">
        <v>56</v>
      </c>
      <c r="G25" s="30"/>
      <c r="H25" s="3" t="s">
        <v>12</v>
      </c>
    </row>
    <row r="26" spans="1:8" hidden="1" x14ac:dyDescent="0.3"/>
    <row r="27" spans="1:8" hidden="1" x14ac:dyDescent="0.3"/>
    <row r="28" spans="1:8" hidden="1" x14ac:dyDescent="0.3"/>
  </sheetData>
  <mergeCells count="1">
    <mergeCell ref="C1:E1"/>
  </mergeCells>
  <conditionalFormatting sqref="H3:H25">
    <cfRule type="cellIs" dxfId="5" priority="1" operator="notEqual">
      <formula>"Done"</formula>
    </cfRule>
    <cfRule type="cellIs" dxfId="4" priority="2" operator="equal">
      <formula>"Done"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032BF-A689-4EB9-AE36-3CC99CF573D5}">
          <x14:formula1>
            <xm:f>all_dropdown!$K$2:$K$9</xm:f>
          </x14:formula1>
          <xm:sqref>H3:H25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8185-A8AA-4D3D-9EF7-9C52CD7B03AC}">
  <sheetPr codeName="Sheet6"/>
  <dimension ref="A1:H1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" x14ac:dyDescent="0.3"/>
  <cols>
    <col min="1" max="1" width="18.58203125" customWidth="1"/>
    <col min="2" max="2" width="32" customWidth="1"/>
    <col min="3" max="3" width="14.08203125" bestFit="1" customWidth="1"/>
    <col min="4" max="4" width="12.25" bestFit="1" customWidth="1"/>
    <col min="5" max="5" width="14.5" bestFit="1" customWidth="1"/>
    <col min="6" max="6" width="17.83203125" customWidth="1"/>
    <col min="7" max="7" width="25.33203125" customWidth="1"/>
    <col min="8" max="8" width="15.08203125" bestFit="1" customWidth="1"/>
  </cols>
  <sheetData>
    <row r="1" spans="1:8" x14ac:dyDescent="0.3">
      <c r="A1" s="38"/>
      <c r="B1" s="39"/>
      <c r="C1" s="51" t="s">
        <v>0</v>
      </c>
      <c r="D1" s="51"/>
      <c r="E1" s="51"/>
      <c r="F1" s="38"/>
      <c r="G1" s="38"/>
      <c r="H1" s="38"/>
    </row>
    <row r="2" spans="1:8" x14ac:dyDescent="0.3">
      <c r="A2" s="40" t="s">
        <v>72</v>
      </c>
      <c r="B2" s="41" t="s">
        <v>2</v>
      </c>
      <c r="C2" s="42" t="s">
        <v>3</v>
      </c>
      <c r="D2" s="42" t="s">
        <v>4</v>
      </c>
      <c r="E2" s="42" t="s">
        <v>5</v>
      </c>
      <c r="F2" s="43" t="s">
        <v>6</v>
      </c>
      <c r="G2" s="44" t="s">
        <v>7</v>
      </c>
      <c r="H2" s="44" t="s">
        <v>8</v>
      </c>
    </row>
    <row r="3" spans="1:8" x14ac:dyDescent="0.3">
      <c r="A3" s="10" t="s">
        <v>9</v>
      </c>
      <c r="B3" s="28" t="s">
        <v>58</v>
      </c>
      <c r="C3" s="3"/>
      <c r="D3" s="3"/>
      <c r="E3" s="3"/>
      <c r="F3" s="3"/>
      <c r="G3" s="3"/>
      <c r="H3" s="3" t="s">
        <v>12</v>
      </c>
    </row>
    <row r="4" spans="1:8" x14ac:dyDescent="0.3">
      <c r="A4" s="10" t="s">
        <v>13</v>
      </c>
      <c r="B4" s="28" t="s">
        <v>14</v>
      </c>
      <c r="C4" s="3"/>
      <c r="D4" s="3"/>
      <c r="E4" s="3"/>
      <c r="F4" s="3"/>
      <c r="G4" s="3"/>
      <c r="H4" s="3" t="s">
        <v>12</v>
      </c>
    </row>
    <row r="5" spans="1:8" x14ac:dyDescent="0.3">
      <c r="A5" s="10" t="s">
        <v>19</v>
      </c>
      <c r="B5" s="28" t="s">
        <v>60</v>
      </c>
      <c r="C5" s="3"/>
      <c r="D5" s="3"/>
      <c r="E5" s="3"/>
      <c r="F5" s="3"/>
      <c r="G5" s="3"/>
      <c r="H5" s="3" t="s">
        <v>12</v>
      </c>
    </row>
    <row r="6" spans="1:8" x14ac:dyDescent="0.3">
      <c r="A6" s="10" t="s">
        <v>21</v>
      </c>
      <c r="B6" s="28" t="s">
        <v>22</v>
      </c>
      <c r="C6" s="3"/>
      <c r="D6" s="3"/>
      <c r="E6" s="3"/>
      <c r="F6" s="3"/>
      <c r="G6" s="3"/>
      <c r="H6" s="3" t="s">
        <v>12</v>
      </c>
    </row>
    <row r="7" spans="1:8" x14ac:dyDescent="0.3">
      <c r="A7" s="10" t="s">
        <v>23</v>
      </c>
      <c r="B7" s="28" t="s">
        <v>61</v>
      </c>
      <c r="C7" s="3"/>
      <c r="D7" s="3"/>
      <c r="E7" s="3"/>
      <c r="F7" s="3"/>
      <c r="G7" s="3"/>
      <c r="H7" s="3" t="s">
        <v>12</v>
      </c>
    </row>
    <row r="8" spans="1:8" x14ac:dyDescent="0.3">
      <c r="A8" s="10" t="s">
        <v>25</v>
      </c>
      <c r="B8" s="28" t="s">
        <v>26</v>
      </c>
      <c r="C8" s="3"/>
      <c r="D8" s="3"/>
      <c r="E8" s="3"/>
      <c r="F8" s="3"/>
      <c r="G8" s="3"/>
      <c r="H8" s="3" t="s">
        <v>12</v>
      </c>
    </row>
    <row r="9" spans="1:8" x14ac:dyDescent="0.3">
      <c r="A9" s="10" t="s">
        <v>27</v>
      </c>
      <c r="B9" s="28" t="s">
        <v>28</v>
      </c>
      <c r="C9" s="3"/>
      <c r="D9" s="3"/>
      <c r="E9" s="3"/>
      <c r="F9" s="3"/>
      <c r="G9" s="3"/>
      <c r="H9" s="3" t="s">
        <v>12</v>
      </c>
    </row>
    <row r="10" spans="1:8" x14ac:dyDescent="0.3">
      <c r="A10" s="10" t="s">
        <v>29</v>
      </c>
      <c r="B10" s="28" t="s">
        <v>30</v>
      </c>
      <c r="C10" s="3"/>
      <c r="D10" s="3"/>
      <c r="E10" s="3"/>
      <c r="F10" s="3"/>
      <c r="G10" s="3"/>
      <c r="H10" s="3" t="s">
        <v>12</v>
      </c>
    </row>
    <row r="11" spans="1:8" x14ac:dyDescent="0.3">
      <c r="A11" s="10" t="s">
        <v>31</v>
      </c>
      <c r="B11" s="28" t="s">
        <v>30</v>
      </c>
      <c r="C11" s="3"/>
      <c r="D11" s="3"/>
      <c r="E11" s="3"/>
      <c r="F11" s="3"/>
      <c r="G11" s="3"/>
      <c r="H11" s="3" t="s">
        <v>12</v>
      </c>
    </row>
    <row r="12" spans="1:8" x14ac:dyDescent="0.3">
      <c r="A12" s="10" t="s">
        <v>70</v>
      </c>
      <c r="B12" s="28" t="s">
        <v>36</v>
      </c>
      <c r="C12" s="3"/>
      <c r="D12" s="3"/>
      <c r="E12" s="3"/>
      <c r="F12" s="3"/>
      <c r="G12" s="3"/>
      <c r="H12" s="3" t="s">
        <v>12</v>
      </c>
    </row>
    <row r="13" spans="1:8" x14ac:dyDescent="0.3">
      <c r="A13" s="10" t="s">
        <v>37</v>
      </c>
      <c r="B13" s="28" t="s">
        <v>38</v>
      </c>
      <c r="C13" s="3"/>
      <c r="D13" s="3"/>
      <c r="E13" s="3"/>
      <c r="F13" s="3"/>
      <c r="G13" s="3"/>
      <c r="H13" s="3" t="s">
        <v>12</v>
      </c>
    </row>
    <row r="14" spans="1:8" x14ac:dyDescent="0.3">
      <c r="A14" s="10" t="s">
        <v>62</v>
      </c>
      <c r="B14" s="28" t="s">
        <v>63</v>
      </c>
      <c r="C14" s="3"/>
      <c r="D14" s="3"/>
      <c r="E14" s="3"/>
      <c r="F14" s="3"/>
      <c r="G14" s="3"/>
      <c r="H14" s="3" t="s">
        <v>12</v>
      </c>
    </row>
    <row r="15" spans="1:8" x14ac:dyDescent="0.3">
      <c r="A15" s="10" t="s">
        <v>64</v>
      </c>
      <c r="B15" s="28" t="s">
        <v>65</v>
      </c>
      <c r="C15" s="3"/>
      <c r="D15" s="3"/>
      <c r="E15" s="3"/>
      <c r="F15" s="3"/>
      <c r="G15" s="3"/>
      <c r="H15" s="3" t="s">
        <v>12</v>
      </c>
    </row>
    <row r="16" spans="1:8" ht="42" x14ac:dyDescent="0.3">
      <c r="A16" s="30" t="s">
        <v>45</v>
      </c>
      <c r="B16" s="28" t="s">
        <v>73</v>
      </c>
      <c r="C16" s="3"/>
      <c r="D16" s="3"/>
      <c r="E16" s="3"/>
      <c r="F16" s="3"/>
      <c r="G16" s="3"/>
      <c r="H16" s="3" t="s">
        <v>12</v>
      </c>
    </row>
    <row r="17" spans="1:8" ht="42" x14ac:dyDescent="0.3">
      <c r="A17" s="29" t="s">
        <v>47</v>
      </c>
      <c r="B17" s="28" t="s">
        <v>74</v>
      </c>
      <c r="C17" s="3"/>
      <c r="D17" s="3"/>
      <c r="E17" s="3"/>
      <c r="F17" s="3"/>
      <c r="G17" s="3"/>
      <c r="H17" s="3" t="s">
        <v>12</v>
      </c>
    </row>
    <row r="18" spans="1:8" ht="56" x14ac:dyDescent="0.3">
      <c r="A18" s="10" t="s">
        <v>75</v>
      </c>
      <c r="B18" s="28" t="s">
        <v>76</v>
      </c>
      <c r="C18" s="3"/>
      <c r="D18" s="3"/>
      <c r="E18" s="3"/>
      <c r="F18" s="3"/>
      <c r="G18" s="3"/>
      <c r="H18" s="3" t="s">
        <v>12</v>
      </c>
    </row>
  </sheetData>
  <mergeCells count="1">
    <mergeCell ref="C1:E1"/>
  </mergeCells>
  <conditionalFormatting sqref="H3:H18">
    <cfRule type="cellIs" dxfId="3" priority="1" operator="notEqual">
      <formula>"Done"</formula>
    </cfRule>
    <cfRule type="cellIs" dxfId="2" priority="2" operator="equal">
      <formula>"Done"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032BF-A689-4EB9-AE36-3CC99CF573D5}">
          <x14:formula1>
            <xm:f>all_dropdown!$K$2:$K$9</xm:f>
          </x14:formula1>
          <xm:sqref>H3:H18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7D8A-12E5-4B12-BD3A-5346070D752D}">
  <sheetPr codeName="Sheet7"/>
  <dimension ref="A1:H2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7" sqref="E27"/>
    </sheetView>
  </sheetViews>
  <sheetFormatPr defaultRowHeight="14" x14ac:dyDescent="0.3"/>
  <cols>
    <col min="1" max="1" width="39.08203125" bestFit="1" customWidth="1"/>
    <col min="2" max="2" width="38" customWidth="1"/>
    <col min="3" max="3" width="14.08203125" bestFit="1" customWidth="1"/>
    <col min="4" max="4" width="12.25" bestFit="1" customWidth="1"/>
    <col min="5" max="5" width="14.5" bestFit="1" customWidth="1"/>
    <col min="6" max="6" width="9.33203125" bestFit="1" customWidth="1"/>
    <col min="7" max="7" width="20.25" customWidth="1"/>
    <col min="8" max="8" width="15.08203125" bestFit="1" customWidth="1"/>
  </cols>
  <sheetData>
    <row r="1" spans="1:8" x14ac:dyDescent="0.3">
      <c r="A1" s="38"/>
      <c r="B1" s="39"/>
      <c r="C1" s="51" t="s">
        <v>0</v>
      </c>
      <c r="D1" s="51"/>
      <c r="E1" s="51"/>
      <c r="F1" s="38"/>
      <c r="G1" s="38"/>
      <c r="H1" s="38"/>
    </row>
    <row r="2" spans="1:8" x14ac:dyDescent="0.3">
      <c r="A2" s="40" t="s">
        <v>77</v>
      </c>
      <c r="B2" s="41" t="s">
        <v>2</v>
      </c>
      <c r="C2" s="42" t="s">
        <v>3</v>
      </c>
      <c r="D2" s="42" t="s">
        <v>4</v>
      </c>
      <c r="E2" s="42" t="s">
        <v>5</v>
      </c>
      <c r="F2" s="43" t="s">
        <v>6</v>
      </c>
      <c r="G2" s="44" t="s">
        <v>7</v>
      </c>
      <c r="H2" s="44" t="s">
        <v>8</v>
      </c>
    </row>
    <row r="3" spans="1:8" x14ac:dyDescent="0.3">
      <c r="A3" s="10" t="s">
        <v>9</v>
      </c>
      <c r="B3" s="28" t="s">
        <v>58</v>
      </c>
      <c r="C3" s="3"/>
      <c r="D3" s="3"/>
      <c r="E3" s="3"/>
      <c r="F3" s="3"/>
      <c r="G3" s="3"/>
      <c r="H3" s="3" t="s">
        <v>12</v>
      </c>
    </row>
    <row r="4" spans="1:8" x14ac:dyDescent="0.3">
      <c r="A4" s="10" t="s">
        <v>13</v>
      </c>
      <c r="B4" s="28" t="s">
        <v>14</v>
      </c>
      <c r="C4" s="3"/>
      <c r="D4" s="3"/>
      <c r="E4" s="3"/>
      <c r="F4" s="3"/>
      <c r="G4" s="3"/>
      <c r="H4" s="3" t="s">
        <v>12</v>
      </c>
    </row>
    <row r="5" spans="1:8" x14ac:dyDescent="0.3">
      <c r="A5" s="10" t="s">
        <v>19</v>
      </c>
      <c r="B5" s="28" t="s">
        <v>60</v>
      </c>
      <c r="C5" s="3"/>
      <c r="D5" s="3"/>
      <c r="E5" s="3"/>
      <c r="F5" s="3"/>
      <c r="G5" s="3"/>
      <c r="H5" s="3" t="s">
        <v>12</v>
      </c>
    </row>
    <row r="6" spans="1:8" x14ac:dyDescent="0.3">
      <c r="A6" s="10" t="s">
        <v>21</v>
      </c>
      <c r="B6" s="28" t="s">
        <v>22</v>
      </c>
      <c r="C6" s="3"/>
      <c r="D6" s="3"/>
      <c r="E6" s="3"/>
      <c r="F6" s="3"/>
      <c r="G6" s="3"/>
      <c r="H6" s="3" t="s">
        <v>12</v>
      </c>
    </row>
    <row r="7" spans="1:8" x14ac:dyDescent="0.3">
      <c r="A7" s="10" t="s">
        <v>23</v>
      </c>
      <c r="B7" s="28" t="s">
        <v>61</v>
      </c>
      <c r="C7" s="3"/>
      <c r="D7" s="3"/>
      <c r="E7" s="3"/>
      <c r="F7" s="3"/>
      <c r="G7" s="3"/>
      <c r="H7" s="3" t="s">
        <v>12</v>
      </c>
    </row>
    <row r="8" spans="1:8" x14ac:dyDescent="0.3">
      <c r="A8" s="10" t="s">
        <v>25</v>
      </c>
      <c r="B8" s="28" t="s">
        <v>26</v>
      </c>
      <c r="C8" s="3"/>
      <c r="D8" s="3"/>
      <c r="E8" s="3"/>
      <c r="F8" s="3"/>
      <c r="G8" s="3"/>
      <c r="H8" s="3" t="s">
        <v>12</v>
      </c>
    </row>
    <row r="9" spans="1:8" x14ac:dyDescent="0.3">
      <c r="A9" s="10" t="s">
        <v>27</v>
      </c>
      <c r="B9" s="28" t="s">
        <v>28</v>
      </c>
      <c r="C9" s="3"/>
      <c r="D9" s="3"/>
      <c r="E9" s="3"/>
      <c r="F9" s="3"/>
      <c r="G9" s="3"/>
      <c r="H9" s="3" t="s">
        <v>12</v>
      </c>
    </row>
    <row r="10" spans="1:8" x14ac:dyDescent="0.3">
      <c r="A10" s="10" t="s">
        <v>29</v>
      </c>
      <c r="B10" s="28" t="s">
        <v>30</v>
      </c>
      <c r="C10" s="3"/>
      <c r="D10" s="3"/>
      <c r="E10" s="3"/>
      <c r="F10" s="3"/>
      <c r="G10" s="3"/>
      <c r="H10" s="3" t="s">
        <v>12</v>
      </c>
    </row>
    <row r="11" spans="1:8" x14ac:dyDescent="0.3">
      <c r="A11" s="10" t="s">
        <v>31</v>
      </c>
      <c r="B11" s="28" t="s">
        <v>30</v>
      </c>
      <c r="C11" s="3"/>
      <c r="D11" s="3"/>
      <c r="E11" s="3"/>
      <c r="F11" s="3"/>
      <c r="G11" s="3"/>
      <c r="H11" s="3" t="s">
        <v>12</v>
      </c>
    </row>
    <row r="12" spans="1:8" x14ac:dyDescent="0.3">
      <c r="A12" s="10" t="s">
        <v>70</v>
      </c>
      <c r="B12" s="28" t="s">
        <v>36</v>
      </c>
      <c r="C12" s="3"/>
      <c r="D12" s="3"/>
      <c r="E12" s="3"/>
      <c r="F12" s="3"/>
      <c r="G12" s="3"/>
      <c r="H12" s="3" t="s">
        <v>12</v>
      </c>
    </row>
    <row r="13" spans="1:8" x14ac:dyDescent="0.3">
      <c r="A13" s="10" t="s">
        <v>37</v>
      </c>
      <c r="B13" s="28" t="s">
        <v>38</v>
      </c>
      <c r="C13" s="3"/>
      <c r="D13" s="3"/>
      <c r="E13" s="3"/>
      <c r="F13" s="3"/>
      <c r="G13" s="3"/>
      <c r="H13" s="3" t="s">
        <v>12</v>
      </c>
    </row>
    <row r="14" spans="1:8" x14ac:dyDescent="0.3">
      <c r="A14" s="10" t="s">
        <v>62</v>
      </c>
      <c r="B14" s="28" t="s">
        <v>63</v>
      </c>
      <c r="C14" s="3"/>
      <c r="D14" s="3"/>
      <c r="E14" s="3"/>
      <c r="F14" s="3"/>
      <c r="G14" s="3"/>
      <c r="H14" s="3" t="s">
        <v>12</v>
      </c>
    </row>
    <row r="15" spans="1:8" x14ac:dyDescent="0.3">
      <c r="A15" s="10" t="s">
        <v>64</v>
      </c>
      <c r="B15" s="28" t="s">
        <v>65</v>
      </c>
      <c r="C15" s="3"/>
      <c r="D15" s="3"/>
      <c r="E15" s="3"/>
      <c r="F15" s="3"/>
      <c r="G15" s="3"/>
      <c r="H15" s="3" t="s">
        <v>12</v>
      </c>
    </row>
    <row r="16" spans="1:8" x14ac:dyDescent="0.3">
      <c r="A16" s="10" t="s">
        <v>78</v>
      </c>
      <c r="B16" s="28" t="s">
        <v>79</v>
      </c>
      <c r="C16" s="3"/>
      <c r="D16" s="3"/>
      <c r="E16" s="3"/>
      <c r="F16" s="3"/>
      <c r="G16" s="3"/>
      <c r="H16" s="3" t="s">
        <v>12</v>
      </c>
    </row>
    <row r="17" spans="1:8" ht="28" x14ac:dyDescent="0.3">
      <c r="A17" s="10" t="s">
        <v>80</v>
      </c>
      <c r="B17" s="28" t="s">
        <v>81</v>
      </c>
      <c r="C17" s="3"/>
      <c r="D17" s="3"/>
      <c r="E17" s="3"/>
      <c r="F17" s="3"/>
      <c r="G17" s="3"/>
      <c r="H17" s="3" t="s">
        <v>12</v>
      </c>
    </row>
    <row r="18" spans="1:8" x14ac:dyDescent="0.3">
      <c r="A18" s="10" t="s">
        <v>82</v>
      </c>
      <c r="B18" s="28" t="s">
        <v>83</v>
      </c>
      <c r="C18" s="3"/>
      <c r="D18" s="3"/>
      <c r="E18" s="3"/>
      <c r="F18" s="3"/>
      <c r="G18" s="3"/>
      <c r="H18" s="3" t="s">
        <v>12</v>
      </c>
    </row>
    <row r="19" spans="1:8" ht="28" x14ac:dyDescent="0.3">
      <c r="A19" s="10" t="s">
        <v>84</v>
      </c>
      <c r="B19" s="28" t="s">
        <v>85</v>
      </c>
      <c r="C19" s="3"/>
      <c r="D19" s="3"/>
      <c r="E19" s="3"/>
      <c r="F19" s="3"/>
      <c r="G19" s="3"/>
      <c r="H19" s="3" t="s">
        <v>12</v>
      </c>
    </row>
    <row r="20" spans="1:8" ht="42" x14ac:dyDescent="0.3">
      <c r="A20" s="10" t="s">
        <v>86</v>
      </c>
      <c r="B20" s="28" t="s">
        <v>87</v>
      </c>
      <c r="C20" s="3"/>
      <c r="D20" s="3"/>
      <c r="E20" s="3"/>
      <c r="F20" s="3"/>
      <c r="G20" s="3"/>
      <c r="H20" s="3" t="s">
        <v>12</v>
      </c>
    </row>
  </sheetData>
  <mergeCells count="1">
    <mergeCell ref="C1:E1"/>
  </mergeCells>
  <conditionalFormatting sqref="H3:H20">
    <cfRule type="cellIs" dxfId="1" priority="1" operator="notEqual">
      <formula>"Done"</formula>
    </cfRule>
    <cfRule type="cellIs" dxfId="0" priority="2" operator="equal">
      <formula>"Done"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032BF-A689-4EB9-AE36-3CC99CF573D5}">
          <x14:formula1>
            <xm:f>all_dropdown!$K$2:$K$9</xm:f>
          </x14:formula1>
          <xm:sqref>H3:H20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2DA5-2BFE-4D68-AFCF-2E863C215F1E}">
  <sheetPr codeName="Sheet8">
    <tabColor theme="4" tint="0.59999389629810485"/>
  </sheetPr>
  <dimension ref="A1:K9"/>
  <sheetViews>
    <sheetView workbookViewId="0">
      <selection activeCell="I20" sqref="I20"/>
    </sheetView>
  </sheetViews>
  <sheetFormatPr defaultRowHeight="14" x14ac:dyDescent="0.3"/>
  <sheetData>
    <row r="1" spans="1:11" x14ac:dyDescent="0.3">
      <c r="A1" s="3"/>
      <c r="B1" s="33" t="s">
        <v>88</v>
      </c>
      <c r="C1" s="33" t="s">
        <v>89</v>
      </c>
      <c r="D1" s="33" t="s">
        <v>90</v>
      </c>
      <c r="E1" s="33" t="s">
        <v>91</v>
      </c>
      <c r="F1" s="33" t="s">
        <v>92</v>
      </c>
      <c r="K1" s="35" t="s">
        <v>8</v>
      </c>
    </row>
    <row r="2" spans="1:11" x14ac:dyDescent="0.3">
      <c r="A2" s="37" t="s">
        <v>93</v>
      </c>
      <c r="B2" s="3">
        <f>COUNTA(equity_report!H3:H26)</f>
        <v>24</v>
      </c>
      <c r="C2" s="3">
        <f>COUNTA(bond_report!H3:H20)</f>
        <v>18</v>
      </c>
      <c r="D2" s="3">
        <f>COUNTA(sbl_report!H3:H25)</f>
        <v>23</v>
      </c>
      <c r="E2" s="3">
        <f>COUNTA(offshore_report!H3:H18)</f>
        <v>16</v>
      </c>
      <c r="F2" s="3">
        <f>COUNTA(tfex_report!H3:H20)</f>
        <v>18</v>
      </c>
      <c r="K2" s="3" t="s">
        <v>94</v>
      </c>
    </row>
    <row r="3" spans="1:11" x14ac:dyDescent="0.3">
      <c r="A3" s="36" t="s">
        <v>94</v>
      </c>
      <c r="B3" s="3">
        <f>COUNTIF(equity_report!$H$3:$H$26,$A3)</f>
        <v>0</v>
      </c>
      <c r="C3" s="3">
        <f>COUNTIF(bond_report!$H$3:$H$20,$A3)</f>
        <v>0</v>
      </c>
      <c r="D3" s="3">
        <f>COUNTIF(sbl_report!$H$3:$H$25,$A3)</f>
        <v>0</v>
      </c>
      <c r="E3" s="3">
        <f>COUNTIF(offshore_report!$H$3:$H$18,$A3)</f>
        <v>0</v>
      </c>
      <c r="F3" s="3">
        <f>COUNTIF(tfex_report!$H$3:$H$20,$A3)</f>
        <v>0</v>
      </c>
      <c r="K3" s="3" t="s">
        <v>95</v>
      </c>
    </row>
    <row r="4" spans="1:11" x14ac:dyDescent="0.3">
      <c r="A4" s="36" t="s">
        <v>95</v>
      </c>
      <c r="B4" s="3">
        <f>COUNTIF(equity_report!$H$3:$H$26,$A4)</f>
        <v>0</v>
      </c>
      <c r="C4" s="3">
        <f>COUNTIF(bond_report!$H$3:$H$20,$A4)</f>
        <v>0</v>
      </c>
      <c r="D4" s="3">
        <f>COUNTIF(sbl_report!$H$3:$H$25,$A4)</f>
        <v>0</v>
      </c>
      <c r="E4" s="3">
        <f>COUNTIF(offshore_report!$H$3:$H$18,$A4)</f>
        <v>0</v>
      </c>
      <c r="F4" s="3">
        <f>COUNTIF(tfex_report!$H$3:$H$20,$A4)</f>
        <v>0</v>
      </c>
      <c r="K4" s="3" t="s">
        <v>96</v>
      </c>
    </row>
    <row r="5" spans="1:11" x14ac:dyDescent="0.3">
      <c r="A5" s="36" t="s">
        <v>96</v>
      </c>
      <c r="B5" s="3">
        <f>COUNTIF(equity_report!$H$3:$H$26,$A5)</f>
        <v>0</v>
      </c>
      <c r="C5" s="3">
        <f>COUNTIF(bond_report!$H$3:$H$20,$A5)</f>
        <v>0</v>
      </c>
      <c r="D5" s="3">
        <f>COUNTIF(sbl_report!$H$3:$H$25,$A5)</f>
        <v>0</v>
      </c>
      <c r="E5" s="3">
        <f>COUNTIF(offshore_report!$H$3:$H$18,$A5)</f>
        <v>0</v>
      </c>
      <c r="F5" s="3">
        <f>COUNTIF(tfex_report!$H$3:$H$20,$A5)</f>
        <v>0</v>
      </c>
      <c r="K5" s="3" t="s">
        <v>12</v>
      </c>
    </row>
    <row r="6" spans="1:11" x14ac:dyDescent="0.3">
      <c r="A6" s="36" t="s">
        <v>12</v>
      </c>
      <c r="B6" s="3">
        <f>COUNTIF(equity_report!$H$3:$H$26,$A6)</f>
        <v>24</v>
      </c>
      <c r="C6" s="3">
        <f>COUNTIF(bond_report!$H$3:$H$20,$A6)</f>
        <v>18</v>
      </c>
      <c r="D6" s="3">
        <f>COUNTIF(sbl_report!$H$3:$H$25,$A6)</f>
        <v>23</v>
      </c>
      <c r="E6" s="3">
        <f>COUNTIF(offshore_report!$H$3:$H$18,$A6)</f>
        <v>16</v>
      </c>
      <c r="F6" s="3">
        <f>COUNTIF(tfex_report!$H$3:$H$20,$A6)</f>
        <v>18</v>
      </c>
      <c r="K6" s="3"/>
    </row>
    <row r="7" spans="1:11" x14ac:dyDescent="0.3">
      <c r="K7" s="3"/>
    </row>
    <row r="8" spans="1:11" x14ac:dyDescent="0.3">
      <c r="K8" s="3"/>
    </row>
    <row r="9" spans="1:11" x14ac:dyDescent="0.3">
      <c r="K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</vt:lpstr>
      <vt:lpstr>data</vt:lpstr>
      <vt:lpstr>equity_report</vt:lpstr>
      <vt:lpstr>bond_report</vt:lpstr>
      <vt:lpstr>sbl_report</vt:lpstr>
      <vt:lpstr>offshore_report</vt:lpstr>
      <vt:lpstr>tfex_report</vt:lpstr>
      <vt:lpstr>all_dropdown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NOPPADON THANAWATPHONG</dc:creator>
  <cp:keywords/>
  <dc:description/>
  <cp:lastModifiedBy>TOSSAWAT PANOMVONGKASEM</cp:lastModifiedBy>
  <cp:revision/>
  <dcterms:created xsi:type="dcterms:W3CDTF">2015-06-05T18:17:20Z</dcterms:created>
  <dcterms:modified xsi:type="dcterms:W3CDTF">2026-06-22T07:40:39Z</dcterms:modified>
  <cp:category/>
  <cp:contentStatus/>
</cp:coreProperties>
</file>